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d88e351fe4a15a83/Desktop/"/>
    </mc:Choice>
  </mc:AlternateContent>
  <xr:revisionPtr revIDLastSave="93" documentId="8_{1B12710B-897B-452E-B6A4-3D3BCCFAA782}" xr6:coauthVersionLast="47" xr6:coauthVersionMax="47" xr10:uidLastSave="{C197B071-DFF3-43F9-BD6B-A6AE7657C454}"/>
  <bookViews>
    <workbookView xWindow="-108" yWindow="-108" windowWidth="23256" windowHeight="12456" firstSheet="3" activeTab="5" xr2:uid="{7C127FCA-8BAB-4CDC-98EA-29568EDFA6C5}"/>
  </bookViews>
  <sheets>
    <sheet name="Revenue by Location" sheetId="4" r:id="rId1"/>
    <sheet name="Revenue by Platform" sheetId="5" r:id="rId2"/>
    <sheet name="Discount by location" sheetId="7" r:id="rId3"/>
    <sheet name="Discount by platform" sheetId="10" r:id="rId4"/>
    <sheet name="Unit sale by week" sheetId="8" r:id="rId5"/>
    <sheet name="Dashboard" sheetId="12" r:id="rId6"/>
    <sheet name="Supplement_Sales_Weekly_Expande" sheetId="1" r:id="rId7"/>
  </sheets>
  <definedNames>
    <definedName name="Slicer_Location">#N/A</definedName>
    <definedName name="Slicer_Platform">#N/A</definedName>
    <definedName name="Slicer_Product_Nam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<sst xmlns="http://schemas.openxmlformats.org/spreadsheetml/2006/main" count="526" uniqueCount="51">
  <si>
    <t>Date</t>
  </si>
  <si>
    <t>Product Name</t>
  </si>
  <si>
    <t>Category</t>
  </si>
  <si>
    <t>Units Sold</t>
  </si>
  <si>
    <t>Price</t>
  </si>
  <si>
    <t>Revenue</t>
  </si>
  <si>
    <t>Discount</t>
  </si>
  <si>
    <t>Units Returned</t>
  </si>
  <si>
    <t>Location</t>
  </si>
  <si>
    <t>Platform</t>
  </si>
  <si>
    <t>Whey Protein</t>
  </si>
  <si>
    <t>Protein</t>
  </si>
  <si>
    <t>Canada</t>
  </si>
  <si>
    <t>Walmart</t>
  </si>
  <si>
    <t>Vitamin C</t>
  </si>
  <si>
    <t>Vitamin</t>
  </si>
  <si>
    <t>UK</t>
  </si>
  <si>
    <t>Amazon</t>
  </si>
  <si>
    <t>Fish Oil</t>
  </si>
  <si>
    <t>Omega</t>
  </si>
  <si>
    <t>Multivitamin</t>
  </si>
  <si>
    <t>Pre-Workout</t>
  </si>
  <si>
    <t>Performance</t>
  </si>
  <si>
    <t>iHerb</t>
  </si>
  <si>
    <t>BCAA</t>
  </si>
  <si>
    <t>Amino Acid</t>
  </si>
  <si>
    <t>Creatine</t>
  </si>
  <si>
    <t>Zinc</t>
  </si>
  <si>
    <t>Mineral</t>
  </si>
  <si>
    <t>Collagen Peptides</t>
  </si>
  <si>
    <t>USA</t>
  </si>
  <si>
    <t>Magnesium</t>
  </si>
  <si>
    <t>Ashwagandha</t>
  </si>
  <si>
    <t>Herbal</t>
  </si>
  <si>
    <t>Melatonin</t>
  </si>
  <si>
    <t>Sleep Aid</t>
  </si>
  <si>
    <t>Biotin</t>
  </si>
  <si>
    <t>Green Tea Extract</t>
  </si>
  <si>
    <t>Fat Burner</t>
  </si>
  <si>
    <t>Iron Supplement</t>
  </si>
  <si>
    <t>Electrolyte Powder</t>
  </si>
  <si>
    <t>Hydration</t>
  </si>
  <si>
    <t>Row Labels</t>
  </si>
  <si>
    <t>Grand Total</t>
  </si>
  <si>
    <t>Column Labels</t>
  </si>
  <si>
    <t>Sum of Revenue</t>
  </si>
  <si>
    <t>Sum of Units Sold</t>
  </si>
  <si>
    <t>Sum of Discount</t>
  </si>
  <si>
    <t>Jan</t>
  </si>
  <si>
    <t>Feb</t>
  </si>
  <si>
    <t>Suplement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</si>
</sst>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0"/>
      <color theme="1"/>
      <name val="Aptos Narrow"/>
      <family val="2"/>
      <scheme val="minor"/>
    </font>
    <font>
      <b/>
      <sz val="3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19" fillId="34" borderId="0" xfId="0" applyFont="1" applyFill="1" applyAlignment="1">
      <alignment horizontal="center" vertical="center"/>
    </xf>
    <xf numFmtId="0" fontId="0" fillId="34" borderId="0" xfId="0" applyFill="1"/>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Dashboard.xlsx]Revenue by Location!PivotTable3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Location'!$B$3:$B$4</c:f>
              <c:strCache>
                <c:ptCount val="1"/>
                <c:pt idx="0">
                  <c:v>Canada</c:v>
                </c:pt>
              </c:strCache>
            </c:strRef>
          </c:tx>
          <c:spPr>
            <a:solidFill>
              <a:schemeClr val="accent1"/>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Location'!$B$5:$B$21</c:f>
              <c:numCache>
                <c:formatCode>General</c:formatCode>
                <c:ptCount val="16"/>
                <c:pt idx="0">
                  <c:v>9048</c:v>
                </c:pt>
                <c:pt idx="1">
                  <c:v>4656</c:v>
                </c:pt>
                <c:pt idx="2">
                  <c:v>5153.6099999999997</c:v>
                </c:pt>
                <c:pt idx="3">
                  <c:v>9029.2800000000007</c:v>
                </c:pt>
                <c:pt idx="4">
                  <c:v>9672.84</c:v>
                </c:pt>
                <c:pt idx="5">
                  <c:v>12239.43</c:v>
                </c:pt>
                <c:pt idx="6">
                  <c:v>22623.32</c:v>
                </c:pt>
                <c:pt idx="8">
                  <c:v>6402.53</c:v>
                </c:pt>
                <c:pt idx="9">
                  <c:v>14341.95</c:v>
                </c:pt>
                <c:pt idx="10">
                  <c:v>11190.32</c:v>
                </c:pt>
                <c:pt idx="11">
                  <c:v>2249.8000000000002</c:v>
                </c:pt>
                <c:pt idx="12">
                  <c:v>7558.3</c:v>
                </c:pt>
                <c:pt idx="13">
                  <c:v>6543.9</c:v>
                </c:pt>
                <c:pt idx="14">
                  <c:v>13591.27</c:v>
                </c:pt>
                <c:pt idx="15">
                  <c:v>13517.24</c:v>
                </c:pt>
              </c:numCache>
            </c:numRef>
          </c:val>
          <c:extLst>
            <c:ext xmlns:c16="http://schemas.microsoft.com/office/drawing/2014/chart" uri="{C3380CC4-5D6E-409C-BE32-E72D297353CC}">
              <c16:uniqueId val="{00000000-4245-432E-A4A1-4DB88E221B17}"/>
            </c:ext>
          </c:extLst>
        </c:ser>
        <c:ser>
          <c:idx val="1"/>
          <c:order val="1"/>
          <c:tx>
            <c:strRef>
              <c:f>'Revenue by Location'!$C$3:$C$4</c:f>
              <c:strCache>
                <c:ptCount val="1"/>
                <c:pt idx="0">
                  <c:v>UK</c:v>
                </c:pt>
              </c:strCache>
            </c:strRef>
          </c:tx>
          <c:spPr>
            <a:solidFill>
              <a:schemeClr val="accent2"/>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Location'!$C$5:$C$21</c:f>
              <c:numCache>
                <c:formatCode>General</c:formatCode>
                <c:ptCount val="16"/>
                <c:pt idx="0">
                  <c:v>9821.9</c:v>
                </c:pt>
                <c:pt idx="1">
                  <c:v>12390.900000000001</c:v>
                </c:pt>
                <c:pt idx="2">
                  <c:v>19944.349999999999</c:v>
                </c:pt>
                <c:pt idx="3">
                  <c:v>22281.51</c:v>
                </c:pt>
                <c:pt idx="4">
                  <c:v>18890.34</c:v>
                </c:pt>
                <c:pt idx="6">
                  <c:v>2517.12</c:v>
                </c:pt>
                <c:pt idx="7">
                  <c:v>25311.22</c:v>
                </c:pt>
                <c:pt idx="8">
                  <c:v>6480.55</c:v>
                </c:pt>
                <c:pt idx="9">
                  <c:v>14652.36</c:v>
                </c:pt>
                <c:pt idx="10">
                  <c:v>5970.12</c:v>
                </c:pt>
                <c:pt idx="11">
                  <c:v>17505.690000000002</c:v>
                </c:pt>
                <c:pt idx="12">
                  <c:v>8295</c:v>
                </c:pt>
                <c:pt idx="13">
                  <c:v>25049.590000000004</c:v>
                </c:pt>
                <c:pt idx="14">
                  <c:v>12892.14</c:v>
                </c:pt>
                <c:pt idx="15">
                  <c:v>12238.45</c:v>
                </c:pt>
              </c:numCache>
            </c:numRef>
          </c:val>
          <c:extLst>
            <c:ext xmlns:c16="http://schemas.microsoft.com/office/drawing/2014/chart" uri="{C3380CC4-5D6E-409C-BE32-E72D297353CC}">
              <c16:uniqueId val="{00000001-4245-432E-A4A1-4DB88E221B17}"/>
            </c:ext>
          </c:extLst>
        </c:ser>
        <c:ser>
          <c:idx val="2"/>
          <c:order val="2"/>
          <c:tx>
            <c:strRef>
              <c:f>'Revenue by Location'!$D$3:$D$4</c:f>
              <c:strCache>
                <c:ptCount val="1"/>
                <c:pt idx="0">
                  <c:v>USA</c:v>
                </c:pt>
              </c:strCache>
            </c:strRef>
          </c:tx>
          <c:spPr>
            <a:solidFill>
              <a:srgbClr val="00B0F0"/>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Location'!$D$5:$D$21</c:f>
              <c:numCache>
                <c:formatCode>General</c:formatCode>
                <c:ptCount val="16"/>
                <c:pt idx="0">
                  <c:v>7162.33</c:v>
                </c:pt>
                <c:pt idx="1">
                  <c:v>9268.68</c:v>
                </c:pt>
                <c:pt idx="2">
                  <c:v>3038.07</c:v>
                </c:pt>
                <c:pt idx="3">
                  <c:v>1611.12</c:v>
                </c:pt>
                <c:pt idx="4">
                  <c:v>2313</c:v>
                </c:pt>
                <c:pt idx="5">
                  <c:v>18506.620000000003</c:v>
                </c:pt>
                <c:pt idx="6">
                  <c:v>10536.05</c:v>
                </c:pt>
                <c:pt idx="7">
                  <c:v>3173.76</c:v>
                </c:pt>
                <c:pt idx="8">
                  <c:v>21869.93</c:v>
                </c:pt>
                <c:pt idx="9">
                  <c:v>4124.25</c:v>
                </c:pt>
                <c:pt idx="10">
                  <c:v>10300.469999999999</c:v>
                </c:pt>
                <c:pt idx="11">
                  <c:v>5128.6399999999994</c:v>
                </c:pt>
                <c:pt idx="12">
                  <c:v>16615.419999999998</c:v>
                </c:pt>
                <c:pt idx="13">
                  <c:v>1358.08</c:v>
                </c:pt>
                <c:pt idx="14">
                  <c:v>6564.17</c:v>
                </c:pt>
                <c:pt idx="15">
                  <c:v>8793.1200000000008</c:v>
                </c:pt>
              </c:numCache>
            </c:numRef>
          </c:val>
          <c:extLst>
            <c:ext xmlns:c16="http://schemas.microsoft.com/office/drawing/2014/chart" uri="{C3380CC4-5D6E-409C-BE32-E72D297353CC}">
              <c16:uniqueId val="{00000002-4245-432E-A4A1-4DB88E221B17}"/>
            </c:ext>
          </c:extLst>
        </c:ser>
        <c:dLbls>
          <c:showLegendKey val="0"/>
          <c:showVal val="0"/>
          <c:showCatName val="0"/>
          <c:showSerName val="0"/>
          <c:showPercent val="0"/>
          <c:showBubbleSize val="0"/>
        </c:dLbls>
        <c:gapWidth val="182"/>
        <c:axId val="709712288"/>
        <c:axId val="67721712"/>
      </c:barChart>
      <c:catAx>
        <c:axId val="70971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1712"/>
        <c:crosses val="autoZero"/>
        <c:auto val="1"/>
        <c:lblAlgn val="ctr"/>
        <c:lblOffset val="100"/>
        <c:noMultiLvlLbl val="0"/>
      </c:catAx>
      <c:valAx>
        <c:axId val="6772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Dashboard.xlsx]Revenue by Platform!PivotTable3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Platform'!$B$3:$B$4</c:f>
              <c:strCache>
                <c:ptCount val="1"/>
                <c:pt idx="0">
                  <c:v>Amazon</c:v>
                </c:pt>
              </c:strCache>
            </c:strRef>
          </c:tx>
          <c:spPr>
            <a:solidFill>
              <a:schemeClr val="accent1"/>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Platform'!$B$5:$B$21</c:f>
              <c:numCache>
                <c:formatCode>General</c:formatCode>
                <c:ptCount val="16"/>
                <c:pt idx="0">
                  <c:v>10780.6</c:v>
                </c:pt>
                <c:pt idx="1">
                  <c:v>10703.64</c:v>
                </c:pt>
                <c:pt idx="2">
                  <c:v>14607.93</c:v>
                </c:pt>
                <c:pt idx="3">
                  <c:v>9245.82</c:v>
                </c:pt>
                <c:pt idx="4">
                  <c:v>6746.52</c:v>
                </c:pt>
                <c:pt idx="5">
                  <c:v>22922.29</c:v>
                </c:pt>
                <c:pt idx="6">
                  <c:v>11162.029999999999</c:v>
                </c:pt>
                <c:pt idx="8">
                  <c:v>10918.91</c:v>
                </c:pt>
                <c:pt idx="9">
                  <c:v>24482.400000000001</c:v>
                </c:pt>
                <c:pt idx="10">
                  <c:v>6926.07</c:v>
                </c:pt>
                <c:pt idx="11">
                  <c:v>10181.43</c:v>
                </c:pt>
                <c:pt idx="12">
                  <c:v>8295</c:v>
                </c:pt>
                <c:pt idx="13">
                  <c:v>17228.8</c:v>
                </c:pt>
                <c:pt idx="14">
                  <c:v>5474.01</c:v>
                </c:pt>
                <c:pt idx="15">
                  <c:v>26339.489999999998</c:v>
                </c:pt>
              </c:numCache>
            </c:numRef>
          </c:val>
          <c:extLst>
            <c:ext xmlns:c16="http://schemas.microsoft.com/office/drawing/2014/chart" uri="{C3380CC4-5D6E-409C-BE32-E72D297353CC}">
              <c16:uniqueId val="{00000000-CCDE-40F8-A8CD-EB0ABB4D77B8}"/>
            </c:ext>
          </c:extLst>
        </c:ser>
        <c:ser>
          <c:idx val="1"/>
          <c:order val="1"/>
          <c:tx>
            <c:strRef>
              <c:f>'Revenue by Platform'!$C$3:$C$4</c:f>
              <c:strCache>
                <c:ptCount val="1"/>
                <c:pt idx="0">
                  <c:v>iHerb</c:v>
                </c:pt>
              </c:strCache>
            </c:strRef>
          </c:tx>
          <c:spPr>
            <a:solidFill>
              <a:schemeClr val="accent2"/>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Platform'!$C$5:$C$21</c:f>
              <c:numCache>
                <c:formatCode>General</c:formatCode>
                <c:ptCount val="16"/>
                <c:pt idx="0">
                  <c:v>8023.08</c:v>
                </c:pt>
                <c:pt idx="1">
                  <c:v>9268.68</c:v>
                </c:pt>
                <c:pt idx="2">
                  <c:v>11110.3</c:v>
                </c:pt>
                <c:pt idx="3">
                  <c:v>7557.6</c:v>
                </c:pt>
                <c:pt idx="4">
                  <c:v>10964.2</c:v>
                </c:pt>
                <c:pt idx="5">
                  <c:v>7823.76</c:v>
                </c:pt>
                <c:pt idx="6">
                  <c:v>7563.24</c:v>
                </c:pt>
                <c:pt idx="7">
                  <c:v>8221.26</c:v>
                </c:pt>
                <c:pt idx="8">
                  <c:v>15090.779999999999</c:v>
                </c:pt>
                <c:pt idx="9">
                  <c:v>8636.16</c:v>
                </c:pt>
                <c:pt idx="10">
                  <c:v>14891.6</c:v>
                </c:pt>
                <c:pt idx="11">
                  <c:v>5532.3</c:v>
                </c:pt>
                <c:pt idx="12">
                  <c:v>24173.72</c:v>
                </c:pt>
                <c:pt idx="13">
                  <c:v>12395.599999999999</c:v>
                </c:pt>
                <c:pt idx="14">
                  <c:v>16436.259999999998</c:v>
                </c:pt>
                <c:pt idx="15">
                  <c:v>8209.32</c:v>
                </c:pt>
              </c:numCache>
            </c:numRef>
          </c:val>
          <c:extLst>
            <c:ext xmlns:c16="http://schemas.microsoft.com/office/drawing/2014/chart" uri="{C3380CC4-5D6E-409C-BE32-E72D297353CC}">
              <c16:uniqueId val="{00000001-CCDE-40F8-A8CD-EB0ABB4D77B8}"/>
            </c:ext>
          </c:extLst>
        </c:ser>
        <c:ser>
          <c:idx val="2"/>
          <c:order val="2"/>
          <c:tx>
            <c:strRef>
              <c:f>'Revenue by Platform'!$D$3:$D$4</c:f>
              <c:strCache>
                <c:ptCount val="1"/>
                <c:pt idx="0">
                  <c:v>Walmart</c:v>
                </c:pt>
              </c:strCache>
            </c:strRef>
          </c:tx>
          <c:spPr>
            <a:solidFill>
              <a:schemeClr val="accent3"/>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Platform'!$D$5:$D$21</c:f>
              <c:numCache>
                <c:formatCode>General</c:formatCode>
                <c:ptCount val="16"/>
                <c:pt idx="0">
                  <c:v>7228.55</c:v>
                </c:pt>
                <c:pt idx="1">
                  <c:v>6343.26</c:v>
                </c:pt>
                <c:pt idx="2">
                  <c:v>2417.8000000000002</c:v>
                </c:pt>
                <c:pt idx="3">
                  <c:v>16118.49</c:v>
                </c:pt>
                <c:pt idx="4">
                  <c:v>13165.46</c:v>
                </c:pt>
                <c:pt idx="6">
                  <c:v>16951.22</c:v>
                </c:pt>
                <c:pt idx="7">
                  <c:v>20263.72</c:v>
                </c:pt>
                <c:pt idx="8">
                  <c:v>8743.32</c:v>
                </c:pt>
                <c:pt idx="10">
                  <c:v>5643.24</c:v>
                </c:pt>
                <c:pt idx="11">
                  <c:v>9170.4</c:v>
                </c:pt>
                <c:pt idx="13">
                  <c:v>3327.17</c:v>
                </c:pt>
                <c:pt idx="14">
                  <c:v>11137.310000000001</c:v>
                </c:pt>
              </c:numCache>
            </c:numRef>
          </c:val>
          <c:extLst>
            <c:ext xmlns:c16="http://schemas.microsoft.com/office/drawing/2014/chart" uri="{C3380CC4-5D6E-409C-BE32-E72D297353CC}">
              <c16:uniqueId val="{00000002-CCDE-40F8-A8CD-EB0ABB4D77B8}"/>
            </c:ext>
          </c:extLst>
        </c:ser>
        <c:dLbls>
          <c:showLegendKey val="0"/>
          <c:showVal val="0"/>
          <c:showCatName val="0"/>
          <c:showSerName val="0"/>
          <c:showPercent val="0"/>
          <c:showBubbleSize val="0"/>
        </c:dLbls>
        <c:gapWidth val="182"/>
        <c:axId val="1040612960"/>
        <c:axId val="906086064"/>
      </c:barChart>
      <c:catAx>
        <c:axId val="104061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086064"/>
        <c:crosses val="autoZero"/>
        <c:auto val="1"/>
        <c:lblAlgn val="ctr"/>
        <c:lblOffset val="100"/>
        <c:noMultiLvlLbl val="0"/>
      </c:catAx>
      <c:valAx>
        <c:axId val="906086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Dashboard.xlsx]Discount by location!PivotTable3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by location'!$B$3:$B$4</c:f>
              <c:strCache>
                <c:ptCount val="1"/>
                <c:pt idx="0">
                  <c:v>Canada</c:v>
                </c:pt>
              </c:strCache>
            </c:strRef>
          </c:tx>
          <c:spPr>
            <a:solidFill>
              <a:schemeClr val="accent1"/>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location'!$B$5:$B$21</c:f>
              <c:numCache>
                <c:formatCode>General</c:formatCode>
                <c:ptCount val="16"/>
                <c:pt idx="0">
                  <c:v>0.28000000000000003</c:v>
                </c:pt>
                <c:pt idx="1">
                  <c:v>0.05</c:v>
                </c:pt>
                <c:pt idx="2">
                  <c:v>0.04</c:v>
                </c:pt>
                <c:pt idx="3">
                  <c:v>0.08</c:v>
                </c:pt>
                <c:pt idx="4">
                  <c:v>0.31</c:v>
                </c:pt>
                <c:pt idx="5">
                  <c:v>0.09</c:v>
                </c:pt>
                <c:pt idx="6">
                  <c:v>0.67999999999999994</c:v>
                </c:pt>
                <c:pt idx="8">
                  <c:v>0.22</c:v>
                </c:pt>
                <c:pt idx="9">
                  <c:v>0.34</c:v>
                </c:pt>
                <c:pt idx="10">
                  <c:v>0.33</c:v>
                </c:pt>
                <c:pt idx="11">
                  <c:v>0.08</c:v>
                </c:pt>
                <c:pt idx="12">
                  <c:v>0.49</c:v>
                </c:pt>
                <c:pt idx="13">
                  <c:v>0.22</c:v>
                </c:pt>
                <c:pt idx="14">
                  <c:v>0.2</c:v>
                </c:pt>
                <c:pt idx="15">
                  <c:v>0.26</c:v>
                </c:pt>
              </c:numCache>
            </c:numRef>
          </c:val>
          <c:extLst>
            <c:ext xmlns:c16="http://schemas.microsoft.com/office/drawing/2014/chart" uri="{C3380CC4-5D6E-409C-BE32-E72D297353CC}">
              <c16:uniqueId val="{00000000-A851-4D41-B86A-3BEAF053C81F}"/>
            </c:ext>
          </c:extLst>
        </c:ser>
        <c:ser>
          <c:idx val="1"/>
          <c:order val="1"/>
          <c:tx>
            <c:strRef>
              <c:f>'Discount by location'!$C$3:$C$4</c:f>
              <c:strCache>
                <c:ptCount val="1"/>
                <c:pt idx="0">
                  <c:v>UK</c:v>
                </c:pt>
              </c:strCache>
            </c:strRef>
          </c:tx>
          <c:spPr>
            <a:solidFill>
              <a:schemeClr val="accent2"/>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location'!$C$5:$C$21</c:f>
              <c:numCache>
                <c:formatCode>General</c:formatCode>
                <c:ptCount val="16"/>
                <c:pt idx="0">
                  <c:v>0.38</c:v>
                </c:pt>
                <c:pt idx="1">
                  <c:v>0.38</c:v>
                </c:pt>
                <c:pt idx="2">
                  <c:v>0.47000000000000003</c:v>
                </c:pt>
                <c:pt idx="3">
                  <c:v>0.41000000000000003</c:v>
                </c:pt>
                <c:pt idx="4">
                  <c:v>0.32999999999999996</c:v>
                </c:pt>
                <c:pt idx="6">
                  <c:v>0.08</c:v>
                </c:pt>
                <c:pt idx="7">
                  <c:v>0.74</c:v>
                </c:pt>
                <c:pt idx="8">
                  <c:v>0.2</c:v>
                </c:pt>
                <c:pt idx="9">
                  <c:v>0.41000000000000003</c:v>
                </c:pt>
                <c:pt idx="10">
                  <c:v>0.12</c:v>
                </c:pt>
                <c:pt idx="11">
                  <c:v>0.36</c:v>
                </c:pt>
                <c:pt idx="12">
                  <c:v>0.19</c:v>
                </c:pt>
                <c:pt idx="13">
                  <c:v>0.6100000000000001</c:v>
                </c:pt>
                <c:pt idx="14">
                  <c:v>0.11</c:v>
                </c:pt>
                <c:pt idx="15">
                  <c:v>0.19</c:v>
                </c:pt>
              </c:numCache>
            </c:numRef>
          </c:val>
          <c:extLst>
            <c:ext xmlns:c16="http://schemas.microsoft.com/office/drawing/2014/chart" uri="{C3380CC4-5D6E-409C-BE32-E72D297353CC}">
              <c16:uniqueId val="{00000004-A851-4D41-B86A-3BEAF053C81F}"/>
            </c:ext>
          </c:extLst>
        </c:ser>
        <c:ser>
          <c:idx val="2"/>
          <c:order val="2"/>
          <c:tx>
            <c:strRef>
              <c:f>'Discount by location'!$D$3:$D$4</c:f>
              <c:strCache>
                <c:ptCount val="1"/>
                <c:pt idx="0">
                  <c:v>USA</c:v>
                </c:pt>
              </c:strCache>
            </c:strRef>
          </c:tx>
          <c:spPr>
            <a:solidFill>
              <a:schemeClr val="accent3"/>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location'!$D$5:$D$21</c:f>
              <c:numCache>
                <c:formatCode>General</c:formatCode>
                <c:ptCount val="16"/>
                <c:pt idx="0">
                  <c:v>0.36</c:v>
                </c:pt>
                <c:pt idx="1">
                  <c:v>0.32</c:v>
                </c:pt>
                <c:pt idx="2">
                  <c:v>0.14000000000000001</c:v>
                </c:pt>
                <c:pt idx="3">
                  <c:v>0.06</c:v>
                </c:pt>
                <c:pt idx="4">
                  <c:v>7.0000000000000007E-2</c:v>
                </c:pt>
                <c:pt idx="5">
                  <c:v>0.25</c:v>
                </c:pt>
                <c:pt idx="6">
                  <c:v>0.24</c:v>
                </c:pt>
                <c:pt idx="7">
                  <c:v>0.03</c:v>
                </c:pt>
                <c:pt idx="8">
                  <c:v>0.55000000000000004</c:v>
                </c:pt>
                <c:pt idx="9">
                  <c:v>0.09</c:v>
                </c:pt>
                <c:pt idx="10">
                  <c:v>0.25</c:v>
                </c:pt>
                <c:pt idx="11">
                  <c:v>0.26</c:v>
                </c:pt>
                <c:pt idx="12">
                  <c:v>0.4</c:v>
                </c:pt>
                <c:pt idx="13">
                  <c:v>0.24</c:v>
                </c:pt>
                <c:pt idx="14">
                  <c:v>0.19</c:v>
                </c:pt>
                <c:pt idx="15">
                  <c:v>0.35</c:v>
                </c:pt>
              </c:numCache>
            </c:numRef>
          </c:val>
          <c:extLst>
            <c:ext xmlns:c16="http://schemas.microsoft.com/office/drawing/2014/chart" uri="{C3380CC4-5D6E-409C-BE32-E72D297353CC}">
              <c16:uniqueId val="{00000005-A851-4D41-B86A-3BEAF053C81F}"/>
            </c:ext>
          </c:extLst>
        </c:ser>
        <c:dLbls>
          <c:showLegendKey val="0"/>
          <c:showVal val="0"/>
          <c:showCatName val="0"/>
          <c:showSerName val="0"/>
          <c:showPercent val="0"/>
          <c:showBubbleSize val="0"/>
        </c:dLbls>
        <c:gapWidth val="150"/>
        <c:axId val="911037904"/>
        <c:axId val="906059664"/>
      </c:barChart>
      <c:catAx>
        <c:axId val="91103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059664"/>
        <c:crosses val="autoZero"/>
        <c:auto val="1"/>
        <c:lblAlgn val="ctr"/>
        <c:lblOffset val="100"/>
        <c:noMultiLvlLbl val="0"/>
      </c:catAx>
      <c:valAx>
        <c:axId val="90605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3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Dashboard.xlsx]Discount by platform!PivotTable3</c:name>
    <c:fmtId val="0"/>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by platform'!$B$3:$B$4</c:f>
              <c:strCache>
                <c:ptCount val="1"/>
                <c:pt idx="0">
                  <c:v>Amazon</c:v>
                </c:pt>
              </c:strCache>
            </c:strRef>
          </c:tx>
          <c:spPr>
            <a:solidFill>
              <a:schemeClr val="accent6">
                <a:lumMod val="60000"/>
                <a:lumOff val="40000"/>
              </a:schemeClr>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platform'!$B$5:$B$21</c:f>
              <c:numCache>
                <c:formatCode>General</c:formatCode>
                <c:ptCount val="16"/>
                <c:pt idx="0">
                  <c:v>0.43000000000000005</c:v>
                </c:pt>
                <c:pt idx="1">
                  <c:v>0.30000000000000004</c:v>
                </c:pt>
                <c:pt idx="2">
                  <c:v>0.14000000000000001</c:v>
                </c:pt>
                <c:pt idx="3">
                  <c:v>0.16</c:v>
                </c:pt>
                <c:pt idx="4">
                  <c:v>0.1</c:v>
                </c:pt>
                <c:pt idx="5">
                  <c:v>0.28999999999999998</c:v>
                </c:pt>
                <c:pt idx="6">
                  <c:v>0.54</c:v>
                </c:pt>
                <c:pt idx="8">
                  <c:v>0.33999999999999997</c:v>
                </c:pt>
                <c:pt idx="9">
                  <c:v>0.66999999999999993</c:v>
                </c:pt>
                <c:pt idx="10">
                  <c:v>0.32</c:v>
                </c:pt>
                <c:pt idx="11">
                  <c:v>0.39</c:v>
                </c:pt>
                <c:pt idx="12">
                  <c:v>0.19</c:v>
                </c:pt>
                <c:pt idx="13">
                  <c:v>0.6</c:v>
                </c:pt>
                <c:pt idx="14">
                  <c:v>0.03</c:v>
                </c:pt>
                <c:pt idx="15">
                  <c:v>0.54</c:v>
                </c:pt>
              </c:numCache>
            </c:numRef>
          </c:val>
          <c:extLst>
            <c:ext xmlns:c16="http://schemas.microsoft.com/office/drawing/2014/chart" uri="{C3380CC4-5D6E-409C-BE32-E72D297353CC}">
              <c16:uniqueId val="{00000000-574A-488B-8A98-B36E65290B40}"/>
            </c:ext>
          </c:extLst>
        </c:ser>
        <c:ser>
          <c:idx val="1"/>
          <c:order val="1"/>
          <c:tx>
            <c:strRef>
              <c:f>'Discount by platform'!$C$3:$C$4</c:f>
              <c:strCache>
                <c:ptCount val="1"/>
                <c:pt idx="0">
                  <c:v>iHerb</c:v>
                </c:pt>
              </c:strCache>
            </c:strRef>
          </c:tx>
          <c:spPr>
            <a:solidFill>
              <a:schemeClr val="accent2"/>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platform'!$C$5:$C$21</c:f>
              <c:numCache>
                <c:formatCode>General</c:formatCode>
                <c:ptCount val="16"/>
                <c:pt idx="0">
                  <c:v>0.43</c:v>
                </c:pt>
                <c:pt idx="1">
                  <c:v>0.32</c:v>
                </c:pt>
                <c:pt idx="2">
                  <c:v>0.47000000000000003</c:v>
                </c:pt>
                <c:pt idx="3">
                  <c:v>0.06</c:v>
                </c:pt>
                <c:pt idx="4">
                  <c:v>0.36</c:v>
                </c:pt>
                <c:pt idx="5">
                  <c:v>0.05</c:v>
                </c:pt>
                <c:pt idx="6">
                  <c:v>0.21</c:v>
                </c:pt>
                <c:pt idx="7">
                  <c:v>0.35</c:v>
                </c:pt>
                <c:pt idx="8">
                  <c:v>0.60000000000000009</c:v>
                </c:pt>
                <c:pt idx="9">
                  <c:v>0.17</c:v>
                </c:pt>
                <c:pt idx="10">
                  <c:v>0.34</c:v>
                </c:pt>
                <c:pt idx="11">
                  <c:v>0.03</c:v>
                </c:pt>
                <c:pt idx="12">
                  <c:v>0.8899999999999999</c:v>
                </c:pt>
                <c:pt idx="13">
                  <c:v>0.29000000000000004</c:v>
                </c:pt>
                <c:pt idx="14">
                  <c:v>0.25</c:v>
                </c:pt>
                <c:pt idx="15">
                  <c:v>0.26</c:v>
                </c:pt>
              </c:numCache>
            </c:numRef>
          </c:val>
          <c:extLst>
            <c:ext xmlns:c16="http://schemas.microsoft.com/office/drawing/2014/chart" uri="{C3380CC4-5D6E-409C-BE32-E72D297353CC}">
              <c16:uniqueId val="{00000001-574A-488B-8A98-B36E65290B40}"/>
            </c:ext>
          </c:extLst>
        </c:ser>
        <c:ser>
          <c:idx val="2"/>
          <c:order val="2"/>
          <c:tx>
            <c:strRef>
              <c:f>'Discount by platform'!$D$3:$D$4</c:f>
              <c:strCache>
                <c:ptCount val="1"/>
                <c:pt idx="0">
                  <c:v>Walmart</c:v>
                </c:pt>
              </c:strCache>
            </c:strRef>
          </c:tx>
          <c:spPr>
            <a:solidFill>
              <a:schemeClr val="accent3"/>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platform'!$D$5:$D$21</c:f>
              <c:numCache>
                <c:formatCode>General</c:formatCode>
                <c:ptCount val="16"/>
                <c:pt idx="0">
                  <c:v>0.16</c:v>
                </c:pt>
                <c:pt idx="1">
                  <c:v>0.13</c:v>
                </c:pt>
                <c:pt idx="2">
                  <c:v>0.04</c:v>
                </c:pt>
                <c:pt idx="3">
                  <c:v>0.32999999999999996</c:v>
                </c:pt>
                <c:pt idx="4">
                  <c:v>0.25</c:v>
                </c:pt>
                <c:pt idx="6">
                  <c:v>0.25</c:v>
                </c:pt>
                <c:pt idx="7">
                  <c:v>0.42</c:v>
                </c:pt>
                <c:pt idx="8">
                  <c:v>0.03</c:v>
                </c:pt>
                <c:pt idx="10">
                  <c:v>0.04</c:v>
                </c:pt>
                <c:pt idx="11">
                  <c:v>0.27999999999999997</c:v>
                </c:pt>
                <c:pt idx="13">
                  <c:v>0.18</c:v>
                </c:pt>
                <c:pt idx="14">
                  <c:v>0.22</c:v>
                </c:pt>
              </c:numCache>
            </c:numRef>
          </c:val>
          <c:extLst>
            <c:ext xmlns:c16="http://schemas.microsoft.com/office/drawing/2014/chart" uri="{C3380CC4-5D6E-409C-BE32-E72D297353CC}">
              <c16:uniqueId val="{00000002-574A-488B-8A98-B36E65290B40}"/>
            </c:ext>
          </c:extLst>
        </c:ser>
        <c:dLbls>
          <c:showLegendKey val="0"/>
          <c:showVal val="0"/>
          <c:showCatName val="0"/>
          <c:showSerName val="0"/>
          <c:showPercent val="0"/>
          <c:showBubbleSize val="0"/>
        </c:dLbls>
        <c:gapWidth val="219"/>
        <c:overlap val="-27"/>
        <c:axId val="925698944"/>
        <c:axId val="707636112"/>
      </c:barChart>
      <c:catAx>
        <c:axId val="9256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36112"/>
        <c:crosses val="autoZero"/>
        <c:auto val="1"/>
        <c:lblAlgn val="ctr"/>
        <c:lblOffset val="100"/>
        <c:noMultiLvlLbl val="0"/>
      </c:catAx>
      <c:valAx>
        <c:axId val="7076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9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Dashboard.xlsx]Unit sale by week!Sale by week</c:name>
    <c:fmtId val="0"/>
  </c:pivotSource>
  <c:chart>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'Unit sale by week'!$B$3:$B$6</c:f>
              <c:strCache>
                <c:ptCount val="1"/>
                <c:pt idx="0">
                  <c:v>Jan</c:v>
                </c:pt>
              </c:strCache>
            </c:strRef>
          </c:tx>
          <c:spPr>
            <a:ln w="28575" cap="rnd">
              <a:solidFill>
                <a:schemeClr val="accent1"/>
              </a:solidFill>
              <a:round/>
            </a:ln>
            <a:effectLst/>
          </c:spPr>
          <c:marker>
            <c:symbol val="circle"/>
            <c:size val="6"/>
            <c:spPr>
              <a:solidFill>
                <a:schemeClr val="accent1"/>
              </a:solidFill>
              <a:ln>
                <a:noFill/>
              </a:ln>
              <a:effectLst/>
            </c:spPr>
          </c:marker>
          <c:cat>
            <c:strRef>
              <c:f>'Unit sale by week'!$A$7:$A$23</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'Unit sale by week'!$B$7:$B$23</c:f>
              <c:numCache>
                <c:formatCode>General</c:formatCode>
                <c:ptCount val="16"/>
                <c:pt idx="0">
                  <c:v>644</c:v>
                </c:pt>
                <c:pt idx="1">
                  <c:v>595</c:v>
                </c:pt>
                <c:pt idx="2">
                  <c:v>635</c:v>
                </c:pt>
                <c:pt idx="3">
                  <c:v>568</c:v>
                </c:pt>
                <c:pt idx="4">
                  <c:v>616</c:v>
                </c:pt>
                <c:pt idx="5">
                  <c:v>581</c:v>
                </c:pt>
                <c:pt idx="6">
                  <c:v>578</c:v>
                </c:pt>
                <c:pt idx="7">
                  <c:v>606</c:v>
                </c:pt>
                <c:pt idx="8">
                  <c:v>632</c:v>
                </c:pt>
                <c:pt idx="9">
                  <c:v>543</c:v>
                </c:pt>
                <c:pt idx="10">
                  <c:v>589</c:v>
                </c:pt>
                <c:pt idx="11">
                  <c:v>598</c:v>
                </c:pt>
                <c:pt idx="12">
                  <c:v>608</c:v>
                </c:pt>
                <c:pt idx="13">
                  <c:v>579</c:v>
                </c:pt>
                <c:pt idx="14">
                  <c:v>587</c:v>
                </c:pt>
                <c:pt idx="15">
                  <c:v>588</c:v>
                </c:pt>
              </c:numCache>
            </c:numRef>
          </c:val>
          <c:smooth val="0"/>
          <c:extLst>
            <c:ext xmlns:c16="http://schemas.microsoft.com/office/drawing/2014/chart" uri="{C3380CC4-5D6E-409C-BE32-E72D297353CC}">
              <c16:uniqueId val="{00000000-732F-4D87-B3E8-8B95F64A8C54}"/>
            </c:ext>
          </c:extLst>
        </c:ser>
        <c:ser>
          <c:idx val="1"/>
          <c:order val="1"/>
          <c:tx>
            <c:strRef>
              <c:f>'Unit sale by week'!$C$3:$C$6</c:f>
              <c:strCache>
                <c:ptCount val="1"/>
                <c:pt idx="0">
                  <c:v>Feb</c:v>
                </c:pt>
              </c:strCache>
            </c:strRef>
          </c:tx>
          <c:spPr>
            <a:ln w="28575" cap="rnd">
              <a:solidFill>
                <a:schemeClr val="accent2"/>
              </a:solidFill>
              <a:round/>
            </a:ln>
            <a:effectLst/>
          </c:spPr>
          <c:marker>
            <c:symbol val="circle"/>
            <c:size val="6"/>
            <c:spPr>
              <a:solidFill>
                <a:schemeClr val="accent2"/>
              </a:solidFill>
              <a:ln>
                <a:noFill/>
              </a:ln>
              <a:effectLst/>
            </c:spPr>
          </c:marker>
          <c:cat>
            <c:strRef>
              <c:f>'Unit sale by week'!$A$7:$A$23</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'Unit sale by week'!$C$7:$C$23</c:f>
              <c:numCache>
                <c:formatCode>General</c:formatCode>
                <c:ptCount val="16"/>
                <c:pt idx="0">
                  <c:v>267</c:v>
                </c:pt>
                <c:pt idx="1">
                  <c:v>260</c:v>
                </c:pt>
                <c:pt idx="2">
                  <c:v>304</c:v>
                </c:pt>
                <c:pt idx="3">
                  <c:v>308</c:v>
                </c:pt>
                <c:pt idx="4">
                  <c:v>269</c:v>
                </c:pt>
                <c:pt idx="5">
                  <c:v>319</c:v>
                </c:pt>
                <c:pt idx="6">
                  <c:v>411</c:v>
                </c:pt>
                <c:pt idx="7">
                  <c:v>318</c:v>
                </c:pt>
                <c:pt idx="8">
                  <c:v>299</c:v>
                </c:pt>
                <c:pt idx="9">
                  <c:v>307</c:v>
                </c:pt>
                <c:pt idx="10">
                  <c:v>281</c:v>
                </c:pt>
                <c:pt idx="11">
                  <c:v>291</c:v>
                </c:pt>
                <c:pt idx="12">
                  <c:v>295</c:v>
                </c:pt>
                <c:pt idx="13">
                  <c:v>480</c:v>
                </c:pt>
                <c:pt idx="14">
                  <c:v>471</c:v>
                </c:pt>
                <c:pt idx="15">
                  <c:v>339</c:v>
                </c:pt>
              </c:numCache>
            </c:numRef>
          </c:val>
          <c:smooth val="0"/>
          <c:extLst>
            <c:ext xmlns:c16="http://schemas.microsoft.com/office/drawing/2014/chart" uri="{C3380CC4-5D6E-409C-BE32-E72D297353CC}">
              <c16:uniqueId val="{00000021-732F-4D87-B3E8-8B95F64A8C54}"/>
            </c:ext>
          </c:extLst>
        </c:ser>
        <c:dLbls>
          <c:showLegendKey val="0"/>
          <c:showVal val="0"/>
          <c:showCatName val="0"/>
          <c:showSerName val="0"/>
          <c:showPercent val="0"/>
          <c:showBubbleSize val="0"/>
        </c:dLbls>
        <c:marker val="1"/>
        <c:smooth val="0"/>
        <c:axId val="673114032"/>
        <c:axId val="707649552"/>
      </c:lineChart>
      <c:catAx>
        <c:axId val="6731140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49552"/>
        <c:crosses val="autoZero"/>
        <c:auto val="1"/>
        <c:lblAlgn val="ctr"/>
        <c:lblOffset val="100"/>
        <c:noMultiLvlLbl val="0"/>
      </c:catAx>
      <c:valAx>
        <c:axId val="7076495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Dashboard.xlsx]Unit sale by week!Sale by week</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2400" b="1"/>
              <a:t>Sale</a:t>
            </a:r>
            <a:r>
              <a:rPr lang="en-IN" sz="2400" b="1" baseline="0"/>
              <a:t> by week</a:t>
            </a:r>
            <a:endParaRPr lang="en-IN" sz="2400" b="1"/>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pattFill prst="narHorz">
            <a:fgClr>
              <a:schemeClr val="accent1"/>
            </a:fgClr>
            <a:bgClr>
              <a:schemeClr val="accent1">
                <a:lumMod val="20000"/>
                <a:lumOff val="80000"/>
              </a:schemeClr>
            </a:bgClr>
          </a:pattFill>
          <a:ln w="28575"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'Unit sale by week'!$B$3:$B$6</c:f>
              <c:strCache>
                <c:ptCount val="1"/>
                <c:pt idx="0">
                  <c:v>Jan</c:v>
                </c:pt>
              </c:strCache>
            </c:strRef>
          </c:tx>
          <c:spPr>
            <a:ln w="28575" cap="rnd">
              <a:solidFill>
                <a:schemeClr val="accent1"/>
              </a:solidFill>
              <a:round/>
            </a:ln>
            <a:effectLst/>
          </c:spPr>
          <c:marker>
            <c:symbol val="circle"/>
            <c:size val="6"/>
            <c:spPr>
              <a:solidFill>
                <a:schemeClr val="accent1"/>
              </a:solidFill>
              <a:ln>
                <a:noFill/>
              </a:ln>
              <a:effectLst/>
            </c:spPr>
          </c:marker>
          <c:cat>
            <c:strRef>
              <c:f>'Unit sale by week'!$A$7:$A$23</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'Unit sale by week'!$B$7:$B$23</c:f>
              <c:numCache>
                <c:formatCode>General</c:formatCode>
                <c:ptCount val="16"/>
                <c:pt idx="0">
                  <c:v>644</c:v>
                </c:pt>
                <c:pt idx="1">
                  <c:v>595</c:v>
                </c:pt>
                <c:pt idx="2">
                  <c:v>635</c:v>
                </c:pt>
                <c:pt idx="3">
                  <c:v>568</c:v>
                </c:pt>
                <c:pt idx="4">
                  <c:v>616</c:v>
                </c:pt>
                <c:pt idx="5">
                  <c:v>581</c:v>
                </c:pt>
                <c:pt idx="6">
                  <c:v>578</c:v>
                </c:pt>
                <c:pt idx="7">
                  <c:v>606</c:v>
                </c:pt>
                <c:pt idx="8">
                  <c:v>632</c:v>
                </c:pt>
                <c:pt idx="9">
                  <c:v>543</c:v>
                </c:pt>
                <c:pt idx="10">
                  <c:v>589</c:v>
                </c:pt>
                <c:pt idx="11">
                  <c:v>598</c:v>
                </c:pt>
                <c:pt idx="12">
                  <c:v>608</c:v>
                </c:pt>
                <c:pt idx="13">
                  <c:v>579</c:v>
                </c:pt>
                <c:pt idx="14">
                  <c:v>587</c:v>
                </c:pt>
                <c:pt idx="15">
                  <c:v>588</c:v>
                </c:pt>
              </c:numCache>
            </c:numRef>
          </c:val>
          <c:smooth val="0"/>
          <c:extLst>
            <c:ext xmlns:c16="http://schemas.microsoft.com/office/drawing/2014/chart" uri="{C3380CC4-5D6E-409C-BE32-E72D297353CC}">
              <c16:uniqueId val="{00000000-F922-46F8-8133-19DC79496C24}"/>
            </c:ext>
          </c:extLst>
        </c:ser>
        <c:ser>
          <c:idx val="1"/>
          <c:order val="1"/>
          <c:tx>
            <c:strRef>
              <c:f>'Unit sale by week'!$C$3:$C$6</c:f>
              <c:strCache>
                <c:ptCount val="1"/>
                <c:pt idx="0">
                  <c:v>Feb</c:v>
                </c:pt>
              </c:strCache>
            </c:strRef>
          </c:tx>
          <c:spPr>
            <a:ln w="28575" cap="rnd">
              <a:solidFill>
                <a:schemeClr val="accent2"/>
              </a:solidFill>
              <a:round/>
            </a:ln>
            <a:effectLst/>
          </c:spPr>
          <c:marker>
            <c:symbol val="circle"/>
            <c:size val="6"/>
            <c:spPr>
              <a:solidFill>
                <a:schemeClr val="accent2"/>
              </a:solidFill>
              <a:ln>
                <a:noFill/>
              </a:ln>
              <a:effectLst/>
            </c:spPr>
          </c:marker>
          <c:cat>
            <c:strRef>
              <c:f>'Unit sale by week'!$A$7:$A$23</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'Unit sale by week'!$C$7:$C$23</c:f>
              <c:numCache>
                <c:formatCode>General</c:formatCode>
                <c:ptCount val="16"/>
                <c:pt idx="0">
                  <c:v>267</c:v>
                </c:pt>
                <c:pt idx="1">
                  <c:v>260</c:v>
                </c:pt>
                <c:pt idx="2">
                  <c:v>304</c:v>
                </c:pt>
                <c:pt idx="3">
                  <c:v>308</c:v>
                </c:pt>
                <c:pt idx="4">
                  <c:v>269</c:v>
                </c:pt>
                <c:pt idx="5">
                  <c:v>319</c:v>
                </c:pt>
                <c:pt idx="6">
                  <c:v>411</c:v>
                </c:pt>
                <c:pt idx="7">
                  <c:v>318</c:v>
                </c:pt>
                <c:pt idx="8">
                  <c:v>299</c:v>
                </c:pt>
                <c:pt idx="9">
                  <c:v>307</c:v>
                </c:pt>
                <c:pt idx="10">
                  <c:v>281</c:v>
                </c:pt>
                <c:pt idx="11">
                  <c:v>291</c:v>
                </c:pt>
                <c:pt idx="12">
                  <c:v>295</c:v>
                </c:pt>
                <c:pt idx="13">
                  <c:v>480</c:v>
                </c:pt>
                <c:pt idx="14">
                  <c:v>471</c:v>
                </c:pt>
                <c:pt idx="15">
                  <c:v>339</c:v>
                </c:pt>
              </c:numCache>
            </c:numRef>
          </c:val>
          <c:smooth val="0"/>
          <c:extLst>
            <c:ext xmlns:c16="http://schemas.microsoft.com/office/drawing/2014/chart" uri="{C3380CC4-5D6E-409C-BE32-E72D297353CC}">
              <c16:uniqueId val="{00000001-F922-46F8-8133-19DC79496C24}"/>
            </c:ext>
          </c:extLst>
        </c:ser>
        <c:dLbls>
          <c:showLegendKey val="0"/>
          <c:showVal val="0"/>
          <c:showCatName val="0"/>
          <c:showSerName val="0"/>
          <c:showPercent val="0"/>
          <c:showBubbleSize val="0"/>
        </c:dLbls>
        <c:marker val="1"/>
        <c:smooth val="0"/>
        <c:axId val="673114032"/>
        <c:axId val="707649552"/>
      </c:lineChart>
      <c:catAx>
        <c:axId val="6731140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49552"/>
        <c:crosses val="autoZero"/>
        <c:auto val="1"/>
        <c:lblAlgn val="ctr"/>
        <c:lblOffset val="100"/>
        <c:noMultiLvlLbl val="0"/>
      </c:catAx>
      <c:valAx>
        <c:axId val="7076495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Dashboard.xlsx]Discount by platform!PivotTable3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t>Discount</a:t>
            </a:r>
            <a:r>
              <a:rPr lang="en-IN" sz="2800" b="1" baseline="0"/>
              <a:t> by platform</a:t>
            </a:r>
            <a:endParaRPr lang="en-IN" sz="2800"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by platform'!$B$3:$B$4</c:f>
              <c:strCache>
                <c:ptCount val="1"/>
                <c:pt idx="0">
                  <c:v>Amazon</c:v>
                </c:pt>
              </c:strCache>
            </c:strRef>
          </c:tx>
          <c:spPr>
            <a:solidFill>
              <a:schemeClr val="accent6">
                <a:lumMod val="60000"/>
                <a:lumOff val="40000"/>
              </a:schemeClr>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platform'!$B$5:$B$21</c:f>
              <c:numCache>
                <c:formatCode>General</c:formatCode>
                <c:ptCount val="16"/>
                <c:pt idx="0">
                  <c:v>0.43000000000000005</c:v>
                </c:pt>
                <c:pt idx="1">
                  <c:v>0.30000000000000004</c:v>
                </c:pt>
                <c:pt idx="2">
                  <c:v>0.14000000000000001</c:v>
                </c:pt>
                <c:pt idx="3">
                  <c:v>0.16</c:v>
                </c:pt>
                <c:pt idx="4">
                  <c:v>0.1</c:v>
                </c:pt>
                <c:pt idx="5">
                  <c:v>0.28999999999999998</c:v>
                </c:pt>
                <c:pt idx="6">
                  <c:v>0.54</c:v>
                </c:pt>
                <c:pt idx="8">
                  <c:v>0.33999999999999997</c:v>
                </c:pt>
                <c:pt idx="9">
                  <c:v>0.66999999999999993</c:v>
                </c:pt>
                <c:pt idx="10">
                  <c:v>0.32</c:v>
                </c:pt>
                <c:pt idx="11">
                  <c:v>0.39</c:v>
                </c:pt>
                <c:pt idx="12">
                  <c:v>0.19</c:v>
                </c:pt>
                <c:pt idx="13">
                  <c:v>0.6</c:v>
                </c:pt>
                <c:pt idx="14">
                  <c:v>0.03</c:v>
                </c:pt>
                <c:pt idx="15">
                  <c:v>0.54</c:v>
                </c:pt>
              </c:numCache>
            </c:numRef>
          </c:val>
          <c:extLst>
            <c:ext xmlns:c16="http://schemas.microsoft.com/office/drawing/2014/chart" uri="{C3380CC4-5D6E-409C-BE32-E72D297353CC}">
              <c16:uniqueId val="{00000000-4A09-46FE-BF52-5C47CC3EE997}"/>
            </c:ext>
          </c:extLst>
        </c:ser>
        <c:ser>
          <c:idx val="1"/>
          <c:order val="1"/>
          <c:tx>
            <c:strRef>
              <c:f>'Discount by platform'!$C$3:$C$4</c:f>
              <c:strCache>
                <c:ptCount val="1"/>
                <c:pt idx="0">
                  <c:v>iHerb</c:v>
                </c:pt>
              </c:strCache>
            </c:strRef>
          </c:tx>
          <c:spPr>
            <a:solidFill>
              <a:schemeClr val="accent2"/>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platform'!$C$5:$C$21</c:f>
              <c:numCache>
                <c:formatCode>General</c:formatCode>
                <c:ptCount val="16"/>
                <c:pt idx="0">
                  <c:v>0.43</c:v>
                </c:pt>
                <c:pt idx="1">
                  <c:v>0.32</c:v>
                </c:pt>
                <c:pt idx="2">
                  <c:v>0.47000000000000003</c:v>
                </c:pt>
                <c:pt idx="3">
                  <c:v>0.06</c:v>
                </c:pt>
                <c:pt idx="4">
                  <c:v>0.36</c:v>
                </c:pt>
                <c:pt idx="5">
                  <c:v>0.05</c:v>
                </c:pt>
                <c:pt idx="6">
                  <c:v>0.21</c:v>
                </c:pt>
                <c:pt idx="7">
                  <c:v>0.35</c:v>
                </c:pt>
                <c:pt idx="8">
                  <c:v>0.60000000000000009</c:v>
                </c:pt>
                <c:pt idx="9">
                  <c:v>0.17</c:v>
                </c:pt>
                <c:pt idx="10">
                  <c:v>0.34</c:v>
                </c:pt>
                <c:pt idx="11">
                  <c:v>0.03</c:v>
                </c:pt>
                <c:pt idx="12">
                  <c:v>0.8899999999999999</c:v>
                </c:pt>
                <c:pt idx="13">
                  <c:v>0.29000000000000004</c:v>
                </c:pt>
                <c:pt idx="14">
                  <c:v>0.25</c:v>
                </c:pt>
                <c:pt idx="15">
                  <c:v>0.26</c:v>
                </c:pt>
              </c:numCache>
            </c:numRef>
          </c:val>
          <c:extLst>
            <c:ext xmlns:c16="http://schemas.microsoft.com/office/drawing/2014/chart" uri="{C3380CC4-5D6E-409C-BE32-E72D297353CC}">
              <c16:uniqueId val="{00000001-4A09-46FE-BF52-5C47CC3EE997}"/>
            </c:ext>
          </c:extLst>
        </c:ser>
        <c:ser>
          <c:idx val="2"/>
          <c:order val="2"/>
          <c:tx>
            <c:strRef>
              <c:f>'Discount by platform'!$D$3:$D$4</c:f>
              <c:strCache>
                <c:ptCount val="1"/>
                <c:pt idx="0">
                  <c:v>Walmart</c:v>
                </c:pt>
              </c:strCache>
            </c:strRef>
          </c:tx>
          <c:spPr>
            <a:solidFill>
              <a:schemeClr val="accent3"/>
            </a:solidFill>
            <a:ln>
              <a:noFill/>
            </a:ln>
            <a:effectLst/>
          </c:spPr>
          <c:invertIfNegative val="0"/>
          <c:cat>
            <c:strRef>
              <c:f>'Discount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platform'!$D$5:$D$21</c:f>
              <c:numCache>
                <c:formatCode>General</c:formatCode>
                <c:ptCount val="16"/>
                <c:pt idx="0">
                  <c:v>0.16</c:v>
                </c:pt>
                <c:pt idx="1">
                  <c:v>0.13</c:v>
                </c:pt>
                <c:pt idx="2">
                  <c:v>0.04</c:v>
                </c:pt>
                <c:pt idx="3">
                  <c:v>0.32999999999999996</c:v>
                </c:pt>
                <c:pt idx="4">
                  <c:v>0.25</c:v>
                </c:pt>
                <c:pt idx="6">
                  <c:v>0.25</c:v>
                </c:pt>
                <c:pt idx="7">
                  <c:v>0.42</c:v>
                </c:pt>
                <c:pt idx="8">
                  <c:v>0.03</c:v>
                </c:pt>
                <c:pt idx="10">
                  <c:v>0.04</c:v>
                </c:pt>
                <c:pt idx="11">
                  <c:v>0.27999999999999997</c:v>
                </c:pt>
                <c:pt idx="13">
                  <c:v>0.18</c:v>
                </c:pt>
                <c:pt idx="14">
                  <c:v>0.22</c:v>
                </c:pt>
              </c:numCache>
            </c:numRef>
          </c:val>
          <c:extLst>
            <c:ext xmlns:c16="http://schemas.microsoft.com/office/drawing/2014/chart" uri="{C3380CC4-5D6E-409C-BE32-E72D297353CC}">
              <c16:uniqueId val="{00000002-4A09-46FE-BF52-5C47CC3EE997}"/>
            </c:ext>
          </c:extLst>
        </c:ser>
        <c:dLbls>
          <c:showLegendKey val="0"/>
          <c:showVal val="0"/>
          <c:showCatName val="0"/>
          <c:showSerName val="0"/>
          <c:showPercent val="0"/>
          <c:showBubbleSize val="0"/>
        </c:dLbls>
        <c:gapWidth val="219"/>
        <c:overlap val="-27"/>
        <c:axId val="925698944"/>
        <c:axId val="707636112"/>
      </c:barChart>
      <c:catAx>
        <c:axId val="9256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36112"/>
        <c:crosses val="autoZero"/>
        <c:auto val="1"/>
        <c:lblAlgn val="ctr"/>
        <c:lblOffset val="100"/>
        <c:noMultiLvlLbl val="0"/>
      </c:catAx>
      <c:valAx>
        <c:axId val="7076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9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Dashboard.xlsx]Revenue by Location!PivotTable3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Revenue</a:t>
            </a:r>
            <a:r>
              <a:rPr lang="en-IN" sz="2400" b="1" baseline="0"/>
              <a:t> by Location</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Location'!$B$3:$B$4</c:f>
              <c:strCache>
                <c:ptCount val="1"/>
                <c:pt idx="0">
                  <c:v>Canada</c:v>
                </c:pt>
              </c:strCache>
            </c:strRef>
          </c:tx>
          <c:spPr>
            <a:solidFill>
              <a:schemeClr val="accent1"/>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Location'!$B$5:$B$21</c:f>
              <c:numCache>
                <c:formatCode>General</c:formatCode>
                <c:ptCount val="16"/>
                <c:pt idx="0">
                  <c:v>9048</c:v>
                </c:pt>
                <c:pt idx="1">
                  <c:v>4656</c:v>
                </c:pt>
                <c:pt idx="2">
                  <c:v>5153.6099999999997</c:v>
                </c:pt>
                <c:pt idx="3">
                  <c:v>9029.2800000000007</c:v>
                </c:pt>
                <c:pt idx="4">
                  <c:v>9672.84</c:v>
                </c:pt>
                <c:pt idx="5">
                  <c:v>12239.43</c:v>
                </c:pt>
                <c:pt idx="6">
                  <c:v>22623.32</c:v>
                </c:pt>
                <c:pt idx="8">
                  <c:v>6402.53</c:v>
                </c:pt>
                <c:pt idx="9">
                  <c:v>14341.95</c:v>
                </c:pt>
                <c:pt idx="10">
                  <c:v>11190.32</c:v>
                </c:pt>
                <c:pt idx="11">
                  <c:v>2249.8000000000002</c:v>
                </c:pt>
                <c:pt idx="12">
                  <c:v>7558.3</c:v>
                </c:pt>
                <c:pt idx="13">
                  <c:v>6543.9</c:v>
                </c:pt>
                <c:pt idx="14">
                  <c:v>13591.27</c:v>
                </c:pt>
                <c:pt idx="15">
                  <c:v>13517.24</c:v>
                </c:pt>
              </c:numCache>
            </c:numRef>
          </c:val>
          <c:extLst>
            <c:ext xmlns:c16="http://schemas.microsoft.com/office/drawing/2014/chart" uri="{C3380CC4-5D6E-409C-BE32-E72D297353CC}">
              <c16:uniqueId val="{00000000-269D-4A91-BF67-00EDD1D548AF}"/>
            </c:ext>
          </c:extLst>
        </c:ser>
        <c:ser>
          <c:idx val="1"/>
          <c:order val="1"/>
          <c:tx>
            <c:strRef>
              <c:f>'Revenue by Location'!$C$3:$C$4</c:f>
              <c:strCache>
                <c:ptCount val="1"/>
                <c:pt idx="0">
                  <c:v>UK</c:v>
                </c:pt>
              </c:strCache>
            </c:strRef>
          </c:tx>
          <c:spPr>
            <a:solidFill>
              <a:schemeClr val="accent2"/>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Location'!$C$5:$C$21</c:f>
              <c:numCache>
                <c:formatCode>General</c:formatCode>
                <c:ptCount val="16"/>
                <c:pt idx="0">
                  <c:v>9821.9</c:v>
                </c:pt>
                <c:pt idx="1">
                  <c:v>12390.900000000001</c:v>
                </c:pt>
                <c:pt idx="2">
                  <c:v>19944.349999999999</c:v>
                </c:pt>
                <c:pt idx="3">
                  <c:v>22281.51</c:v>
                </c:pt>
                <c:pt idx="4">
                  <c:v>18890.34</c:v>
                </c:pt>
                <c:pt idx="6">
                  <c:v>2517.12</c:v>
                </c:pt>
                <c:pt idx="7">
                  <c:v>25311.22</c:v>
                </c:pt>
                <c:pt idx="8">
                  <c:v>6480.55</c:v>
                </c:pt>
                <c:pt idx="9">
                  <c:v>14652.36</c:v>
                </c:pt>
                <c:pt idx="10">
                  <c:v>5970.12</c:v>
                </c:pt>
                <c:pt idx="11">
                  <c:v>17505.690000000002</c:v>
                </c:pt>
                <c:pt idx="12">
                  <c:v>8295</c:v>
                </c:pt>
                <c:pt idx="13">
                  <c:v>25049.590000000004</c:v>
                </c:pt>
                <c:pt idx="14">
                  <c:v>12892.14</c:v>
                </c:pt>
                <c:pt idx="15">
                  <c:v>12238.45</c:v>
                </c:pt>
              </c:numCache>
            </c:numRef>
          </c:val>
          <c:extLst>
            <c:ext xmlns:c16="http://schemas.microsoft.com/office/drawing/2014/chart" uri="{C3380CC4-5D6E-409C-BE32-E72D297353CC}">
              <c16:uniqueId val="{00000001-269D-4A91-BF67-00EDD1D548AF}"/>
            </c:ext>
          </c:extLst>
        </c:ser>
        <c:ser>
          <c:idx val="2"/>
          <c:order val="2"/>
          <c:tx>
            <c:strRef>
              <c:f>'Revenue by Location'!$D$3:$D$4</c:f>
              <c:strCache>
                <c:ptCount val="1"/>
                <c:pt idx="0">
                  <c:v>USA</c:v>
                </c:pt>
              </c:strCache>
            </c:strRef>
          </c:tx>
          <c:spPr>
            <a:solidFill>
              <a:srgbClr val="00B0F0"/>
            </a:solidFill>
            <a:ln>
              <a:noFill/>
            </a:ln>
            <a:effectLst/>
          </c:spPr>
          <c:invertIfNegative val="0"/>
          <c:cat>
            <c:strRef>
              <c:f>'Revenue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Location'!$D$5:$D$21</c:f>
              <c:numCache>
                <c:formatCode>General</c:formatCode>
                <c:ptCount val="16"/>
                <c:pt idx="0">
                  <c:v>7162.33</c:v>
                </c:pt>
                <c:pt idx="1">
                  <c:v>9268.68</c:v>
                </c:pt>
                <c:pt idx="2">
                  <c:v>3038.07</c:v>
                </c:pt>
                <c:pt idx="3">
                  <c:v>1611.12</c:v>
                </c:pt>
                <c:pt idx="4">
                  <c:v>2313</c:v>
                </c:pt>
                <c:pt idx="5">
                  <c:v>18506.620000000003</c:v>
                </c:pt>
                <c:pt idx="6">
                  <c:v>10536.05</c:v>
                </c:pt>
                <c:pt idx="7">
                  <c:v>3173.76</c:v>
                </c:pt>
                <c:pt idx="8">
                  <c:v>21869.93</c:v>
                </c:pt>
                <c:pt idx="9">
                  <c:v>4124.25</c:v>
                </c:pt>
                <c:pt idx="10">
                  <c:v>10300.469999999999</c:v>
                </c:pt>
                <c:pt idx="11">
                  <c:v>5128.6399999999994</c:v>
                </c:pt>
                <c:pt idx="12">
                  <c:v>16615.419999999998</c:v>
                </c:pt>
                <c:pt idx="13">
                  <c:v>1358.08</c:v>
                </c:pt>
                <c:pt idx="14">
                  <c:v>6564.17</c:v>
                </c:pt>
                <c:pt idx="15">
                  <c:v>8793.1200000000008</c:v>
                </c:pt>
              </c:numCache>
            </c:numRef>
          </c:val>
          <c:extLst>
            <c:ext xmlns:c16="http://schemas.microsoft.com/office/drawing/2014/chart" uri="{C3380CC4-5D6E-409C-BE32-E72D297353CC}">
              <c16:uniqueId val="{00000002-269D-4A91-BF67-00EDD1D548AF}"/>
            </c:ext>
          </c:extLst>
        </c:ser>
        <c:dLbls>
          <c:showLegendKey val="0"/>
          <c:showVal val="0"/>
          <c:showCatName val="0"/>
          <c:showSerName val="0"/>
          <c:showPercent val="0"/>
          <c:showBubbleSize val="0"/>
        </c:dLbls>
        <c:gapWidth val="182"/>
        <c:axId val="709712288"/>
        <c:axId val="67721712"/>
      </c:barChart>
      <c:catAx>
        <c:axId val="70971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1712"/>
        <c:crosses val="autoZero"/>
        <c:auto val="1"/>
        <c:lblAlgn val="ctr"/>
        <c:lblOffset val="100"/>
        <c:noMultiLvlLbl val="0"/>
      </c:catAx>
      <c:valAx>
        <c:axId val="6772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Dashboard.xlsx]Discount by location!PivotTable3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Discount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by location'!$B$3:$B$4</c:f>
              <c:strCache>
                <c:ptCount val="1"/>
                <c:pt idx="0">
                  <c:v>Canada</c:v>
                </c:pt>
              </c:strCache>
            </c:strRef>
          </c:tx>
          <c:spPr>
            <a:solidFill>
              <a:schemeClr val="accent1"/>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location'!$B$5:$B$21</c:f>
              <c:numCache>
                <c:formatCode>General</c:formatCode>
                <c:ptCount val="16"/>
                <c:pt idx="0">
                  <c:v>0.28000000000000003</c:v>
                </c:pt>
                <c:pt idx="1">
                  <c:v>0.05</c:v>
                </c:pt>
                <c:pt idx="2">
                  <c:v>0.04</c:v>
                </c:pt>
                <c:pt idx="3">
                  <c:v>0.08</c:v>
                </c:pt>
                <c:pt idx="4">
                  <c:v>0.31</c:v>
                </c:pt>
                <c:pt idx="5">
                  <c:v>0.09</c:v>
                </c:pt>
                <c:pt idx="6">
                  <c:v>0.67999999999999994</c:v>
                </c:pt>
                <c:pt idx="8">
                  <c:v>0.22</c:v>
                </c:pt>
                <c:pt idx="9">
                  <c:v>0.34</c:v>
                </c:pt>
                <c:pt idx="10">
                  <c:v>0.33</c:v>
                </c:pt>
                <c:pt idx="11">
                  <c:v>0.08</c:v>
                </c:pt>
                <c:pt idx="12">
                  <c:v>0.49</c:v>
                </c:pt>
                <c:pt idx="13">
                  <c:v>0.22</c:v>
                </c:pt>
                <c:pt idx="14">
                  <c:v>0.2</c:v>
                </c:pt>
                <c:pt idx="15">
                  <c:v>0.26</c:v>
                </c:pt>
              </c:numCache>
            </c:numRef>
          </c:val>
          <c:extLst>
            <c:ext xmlns:c16="http://schemas.microsoft.com/office/drawing/2014/chart" uri="{C3380CC4-5D6E-409C-BE32-E72D297353CC}">
              <c16:uniqueId val="{00000000-3DD4-4269-B74E-BD306C35AAF3}"/>
            </c:ext>
          </c:extLst>
        </c:ser>
        <c:ser>
          <c:idx val="1"/>
          <c:order val="1"/>
          <c:tx>
            <c:strRef>
              <c:f>'Discount by location'!$C$3:$C$4</c:f>
              <c:strCache>
                <c:ptCount val="1"/>
                <c:pt idx="0">
                  <c:v>UK</c:v>
                </c:pt>
              </c:strCache>
            </c:strRef>
          </c:tx>
          <c:spPr>
            <a:solidFill>
              <a:schemeClr val="accent2"/>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location'!$C$5:$C$21</c:f>
              <c:numCache>
                <c:formatCode>General</c:formatCode>
                <c:ptCount val="16"/>
                <c:pt idx="0">
                  <c:v>0.38</c:v>
                </c:pt>
                <c:pt idx="1">
                  <c:v>0.38</c:v>
                </c:pt>
                <c:pt idx="2">
                  <c:v>0.47000000000000003</c:v>
                </c:pt>
                <c:pt idx="3">
                  <c:v>0.41000000000000003</c:v>
                </c:pt>
                <c:pt idx="4">
                  <c:v>0.32999999999999996</c:v>
                </c:pt>
                <c:pt idx="6">
                  <c:v>0.08</c:v>
                </c:pt>
                <c:pt idx="7">
                  <c:v>0.74</c:v>
                </c:pt>
                <c:pt idx="8">
                  <c:v>0.2</c:v>
                </c:pt>
                <c:pt idx="9">
                  <c:v>0.41000000000000003</c:v>
                </c:pt>
                <c:pt idx="10">
                  <c:v>0.12</c:v>
                </c:pt>
                <c:pt idx="11">
                  <c:v>0.36</c:v>
                </c:pt>
                <c:pt idx="12">
                  <c:v>0.19</c:v>
                </c:pt>
                <c:pt idx="13">
                  <c:v>0.6100000000000001</c:v>
                </c:pt>
                <c:pt idx="14">
                  <c:v>0.11</c:v>
                </c:pt>
                <c:pt idx="15">
                  <c:v>0.19</c:v>
                </c:pt>
              </c:numCache>
            </c:numRef>
          </c:val>
          <c:extLst>
            <c:ext xmlns:c16="http://schemas.microsoft.com/office/drawing/2014/chart" uri="{C3380CC4-5D6E-409C-BE32-E72D297353CC}">
              <c16:uniqueId val="{00000001-3DD4-4269-B74E-BD306C35AAF3}"/>
            </c:ext>
          </c:extLst>
        </c:ser>
        <c:ser>
          <c:idx val="2"/>
          <c:order val="2"/>
          <c:tx>
            <c:strRef>
              <c:f>'Discount by location'!$D$3:$D$4</c:f>
              <c:strCache>
                <c:ptCount val="1"/>
                <c:pt idx="0">
                  <c:v>USA</c:v>
                </c:pt>
              </c:strCache>
            </c:strRef>
          </c:tx>
          <c:spPr>
            <a:solidFill>
              <a:schemeClr val="accent3"/>
            </a:solidFill>
            <a:ln w="19050">
              <a:solidFill>
                <a:schemeClr val="lt1"/>
              </a:solidFill>
            </a:ln>
            <a:effectLst/>
          </c:spPr>
          <c:invertIfNegative val="0"/>
          <c:cat>
            <c:strRef>
              <c:f>'Discount by location'!$A$5:$A$21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'Discount by location'!$D$5:$D$21</c:f>
              <c:numCache>
                <c:formatCode>General</c:formatCode>
                <c:ptCount val="16"/>
                <c:pt idx="0">
                  <c:v>0.36</c:v>
                </c:pt>
                <c:pt idx="1">
                  <c:v>0.32</c:v>
                </c:pt>
                <c:pt idx="2">
                  <c:v>0.14000000000000001</c:v>
                </c:pt>
                <c:pt idx="3">
                  <c:v>0.06</c:v>
                </c:pt>
                <c:pt idx="4">
                  <c:v>7.0000000000000007E-2</c:v>
                </c:pt>
                <c:pt idx="5">
                  <c:v>0.25</c:v>
                </c:pt>
                <c:pt idx="6">
                  <c:v>0.24</c:v>
                </c:pt>
                <c:pt idx="7">
                  <c:v>0.03</c:v>
                </c:pt>
                <c:pt idx="8">
                  <c:v>0.55000000000000004</c:v>
                </c:pt>
                <c:pt idx="9">
                  <c:v>0.09</c:v>
                </c:pt>
                <c:pt idx="10">
                  <c:v>0.25</c:v>
                </c:pt>
                <c:pt idx="11">
                  <c:v>0.26</c:v>
                </c:pt>
                <c:pt idx="12">
                  <c:v>0.4</c:v>
                </c:pt>
                <c:pt idx="13">
                  <c:v>0.24</c:v>
                </c:pt>
                <c:pt idx="14">
                  <c:v>0.19</c:v>
                </c:pt>
                <c:pt idx="15">
                  <c:v>0.35</c:v>
                </c:pt>
              </c:numCache>
            </c:numRef>
          </c:val>
          <c:extLst>
            <c:ext xmlns:c16="http://schemas.microsoft.com/office/drawing/2014/chart" uri="{C3380CC4-5D6E-409C-BE32-E72D297353CC}">
              <c16:uniqueId val="{00000002-3DD4-4269-B74E-BD306C35AAF3}"/>
            </c:ext>
          </c:extLst>
        </c:ser>
        <c:dLbls>
          <c:showLegendKey val="0"/>
          <c:showVal val="0"/>
          <c:showCatName val="0"/>
          <c:showSerName val="0"/>
          <c:showPercent val="0"/>
          <c:showBubbleSize val="0"/>
        </c:dLbls>
        <c:gapWidth val="150"/>
        <c:axId val="911037904"/>
        <c:axId val="906059664"/>
      </c:barChart>
      <c:catAx>
        <c:axId val="91103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059664"/>
        <c:crosses val="autoZero"/>
        <c:auto val="1"/>
        <c:lblAlgn val="ctr"/>
        <c:lblOffset val="100"/>
        <c:noMultiLvlLbl val="0"/>
      </c:catAx>
      <c:valAx>
        <c:axId val="90605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3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Dashboard.xlsx]Revenue by Platform!PivotTable3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Revenue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Platform'!$B$3:$B$4</c:f>
              <c:strCache>
                <c:ptCount val="1"/>
                <c:pt idx="0">
                  <c:v>Amazon</c:v>
                </c:pt>
              </c:strCache>
            </c:strRef>
          </c:tx>
          <c:spPr>
            <a:solidFill>
              <a:schemeClr val="accent1"/>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Platform'!$B$5:$B$21</c:f>
              <c:numCache>
                <c:formatCode>General</c:formatCode>
                <c:ptCount val="16"/>
                <c:pt idx="0">
                  <c:v>10780.6</c:v>
                </c:pt>
                <c:pt idx="1">
                  <c:v>10703.64</c:v>
                </c:pt>
                <c:pt idx="2">
                  <c:v>14607.93</c:v>
                </c:pt>
                <c:pt idx="3">
                  <c:v>9245.82</c:v>
                </c:pt>
                <c:pt idx="4">
                  <c:v>6746.52</c:v>
                </c:pt>
                <c:pt idx="5">
                  <c:v>22922.29</c:v>
                </c:pt>
                <c:pt idx="6">
                  <c:v>11162.029999999999</c:v>
                </c:pt>
                <c:pt idx="8">
                  <c:v>10918.91</c:v>
                </c:pt>
                <c:pt idx="9">
                  <c:v>24482.400000000001</c:v>
                </c:pt>
                <c:pt idx="10">
                  <c:v>6926.07</c:v>
                </c:pt>
                <c:pt idx="11">
                  <c:v>10181.43</c:v>
                </c:pt>
                <c:pt idx="12">
                  <c:v>8295</c:v>
                </c:pt>
                <c:pt idx="13">
                  <c:v>17228.8</c:v>
                </c:pt>
                <c:pt idx="14">
                  <c:v>5474.01</c:v>
                </c:pt>
                <c:pt idx="15">
                  <c:v>26339.489999999998</c:v>
                </c:pt>
              </c:numCache>
            </c:numRef>
          </c:val>
          <c:extLst>
            <c:ext xmlns:c16="http://schemas.microsoft.com/office/drawing/2014/chart" uri="{C3380CC4-5D6E-409C-BE32-E72D297353CC}">
              <c16:uniqueId val="{00000000-E073-413F-BB99-5B80949BAB6D}"/>
            </c:ext>
          </c:extLst>
        </c:ser>
        <c:ser>
          <c:idx val="1"/>
          <c:order val="1"/>
          <c:tx>
            <c:strRef>
              <c:f>'Revenue by Platform'!$C$3:$C$4</c:f>
              <c:strCache>
                <c:ptCount val="1"/>
                <c:pt idx="0">
                  <c:v>iHerb</c:v>
                </c:pt>
              </c:strCache>
            </c:strRef>
          </c:tx>
          <c:spPr>
            <a:solidFill>
              <a:schemeClr val="accent2"/>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Platform'!$C$5:$C$21</c:f>
              <c:numCache>
                <c:formatCode>General</c:formatCode>
                <c:ptCount val="16"/>
                <c:pt idx="0">
                  <c:v>8023.08</c:v>
                </c:pt>
                <c:pt idx="1">
                  <c:v>9268.68</c:v>
                </c:pt>
                <c:pt idx="2">
                  <c:v>11110.3</c:v>
                </c:pt>
                <c:pt idx="3">
                  <c:v>7557.6</c:v>
                </c:pt>
                <c:pt idx="4">
                  <c:v>10964.2</c:v>
                </c:pt>
                <c:pt idx="5">
                  <c:v>7823.76</c:v>
                </c:pt>
                <c:pt idx="6">
                  <c:v>7563.24</c:v>
                </c:pt>
                <c:pt idx="7">
                  <c:v>8221.26</c:v>
                </c:pt>
                <c:pt idx="8">
                  <c:v>15090.779999999999</c:v>
                </c:pt>
                <c:pt idx="9">
                  <c:v>8636.16</c:v>
                </c:pt>
                <c:pt idx="10">
                  <c:v>14891.6</c:v>
                </c:pt>
                <c:pt idx="11">
                  <c:v>5532.3</c:v>
                </c:pt>
                <c:pt idx="12">
                  <c:v>24173.72</c:v>
                </c:pt>
                <c:pt idx="13">
                  <c:v>12395.599999999999</c:v>
                </c:pt>
                <c:pt idx="14">
                  <c:v>16436.259999999998</c:v>
                </c:pt>
                <c:pt idx="15">
                  <c:v>8209.32</c:v>
                </c:pt>
              </c:numCache>
            </c:numRef>
          </c:val>
          <c:extLst>
            <c:ext xmlns:c16="http://schemas.microsoft.com/office/drawing/2014/chart" uri="{C3380CC4-5D6E-409C-BE32-E72D297353CC}">
              <c16:uniqueId val="{00000001-E073-413F-BB99-5B80949BAB6D}"/>
            </c:ext>
          </c:extLst>
        </c:ser>
        <c:ser>
          <c:idx val="2"/>
          <c:order val="2"/>
          <c:tx>
            <c:strRef>
              <c:f>'Revenue by Platform'!$D$3:$D$4</c:f>
              <c:strCache>
                <c:ptCount val="1"/>
                <c:pt idx="0">
                  <c:v>Walmart</c:v>
                </c:pt>
              </c:strCache>
            </c:strRef>
          </c:tx>
          <c:spPr>
            <a:solidFill>
              <a:schemeClr val="accent6">
                <a:lumMod val="60000"/>
                <a:lumOff val="40000"/>
              </a:schemeClr>
            </a:solidFill>
            <a:ln>
              <a:noFill/>
            </a:ln>
            <a:effectLst/>
          </c:spPr>
          <c:invertIfNegative val="0"/>
          <c:cat>
            <c:strRef>
              <c:f>'Revenue by Platform'!$A$5:$A$21</c:f>
              <c:strCache>
                <c:ptCount val="16"/>
                <c:pt idx="0">
                  <c:v>Ashwagandha</c:v>
                </c:pt>
                <c:pt idx="1">
                  <c:v>BCAA</c:v>
                </c:pt>
                <c:pt idx="2">
                  <c:v>Biotin</c:v>
                </c:pt>
                <c:pt idx="3">
                  <c:v>Collagen Peptides</c:v>
                </c:pt>
                <c:pt idx="4">
                  <c:v>Creatine</c:v>
                </c:pt>
                <c:pt idx="5">
                  <c:v>Electrolyte Powder</c:v>
                </c:pt>
                <c:pt idx="6">
                  <c:v>Fish Oil</c:v>
                </c:pt>
                <c:pt idx="7">
                  <c:v>Green Tea Extract</c:v>
                </c:pt>
                <c:pt idx="8">
                  <c:v>Iron Supplement</c:v>
                </c:pt>
                <c:pt idx="9">
                  <c:v>Magnesium</c:v>
                </c:pt>
                <c:pt idx="10">
                  <c:v>Melatonin</c:v>
                </c:pt>
                <c:pt idx="11">
                  <c:v>Multivitamin</c:v>
                </c:pt>
                <c:pt idx="12">
                  <c:v>Pre-Workout</c:v>
                </c:pt>
                <c:pt idx="13">
                  <c:v>Vitamin C</c:v>
                </c:pt>
                <c:pt idx="14">
                  <c:v>Whey Protein</c:v>
                </c:pt>
                <c:pt idx="15">
                  <c:v>Zinc</c:v>
                </c:pt>
              </c:strCache>
            </c:strRef>
          </c:cat>
          <c:val>
            <c:numRef>
              <c:f>'Revenue by Platform'!$D$5:$D$21</c:f>
              <c:numCache>
                <c:formatCode>General</c:formatCode>
                <c:ptCount val="16"/>
                <c:pt idx="0">
                  <c:v>7228.55</c:v>
                </c:pt>
                <c:pt idx="1">
                  <c:v>6343.26</c:v>
                </c:pt>
                <c:pt idx="2">
                  <c:v>2417.8000000000002</c:v>
                </c:pt>
                <c:pt idx="3">
                  <c:v>16118.49</c:v>
                </c:pt>
                <c:pt idx="4">
                  <c:v>13165.46</c:v>
                </c:pt>
                <c:pt idx="6">
                  <c:v>16951.22</c:v>
                </c:pt>
                <c:pt idx="7">
                  <c:v>20263.72</c:v>
                </c:pt>
                <c:pt idx="8">
                  <c:v>8743.32</c:v>
                </c:pt>
                <c:pt idx="10">
                  <c:v>5643.24</c:v>
                </c:pt>
                <c:pt idx="11">
                  <c:v>9170.4</c:v>
                </c:pt>
                <c:pt idx="13">
                  <c:v>3327.17</c:v>
                </c:pt>
                <c:pt idx="14">
                  <c:v>11137.310000000001</c:v>
                </c:pt>
              </c:numCache>
            </c:numRef>
          </c:val>
          <c:extLst>
            <c:ext xmlns:c16="http://schemas.microsoft.com/office/drawing/2014/chart" uri="{C3380CC4-5D6E-409C-BE32-E72D297353CC}">
              <c16:uniqueId val="{00000002-E073-413F-BB99-5B80949BAB6D}"/>
            </c:ext>
          </c:extLst>
        </c:ser>
        <c:dLbls>
          <c:showLegendKey val="0"/>
          <c:showVal val="0"/>
          <c:showCatName val="0"/>
          <c:showSerName val="0"/>
          <c:showPercent val="0"/>
          <c:showBubbleSize val="0"/>
        </c:dLbls>
        <c:gapWidth val="182"/>
        <c:axId val="1040612960"/>
        <c:axId val="906086064"/>
      </c:barChart>
      <c:catAx>
        <c:axId val="104061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086064"/>
        <c:crosses val="autoZero"/>
        <c:auto val="1"/>
        <c:lblAlgn val="ctr"/>
        <c:lblOffset val="100"/>
        <c:noMultiLvlLbl val="0"/>
      </c:catAx>
      <c:valAx>
        <c:axId val="906086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541020</xdr:colOff>
      <xdr:row>3</xdr:row>
      <xdr:rowOff>137160</xdr:rowOff>
    </xdr:from>
    <xdr:to>
      <xdr:col>11</xdr:col>
      <xdr:colOff>464820</xdr:colOff>
      <xdr:row>23</xdr:row>
      <xdr:rowOff>0</xdr:rowOff>
    </xdr:to>
    <xdr:graphicFrame macro="">
      <xdr:nvGraphicFramePr>
        <xdr:cNvPr id="2" name="Chart 1">
          <a:extLst>
            <a:ext uri="{FF2B5EF4-FFF2-40B4-BE49-F238E27FC236}">
              <a16:creationId xmlns:a16="http://schemas.microsoft.com/office/drawing/2014/main" id="{5D8123E6-1DB3-EC78-11F7-D1607311F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541020</xdr:colOff>
      <xdr:row>6</xdr:row>
      <xdr:rowOff>45720</xdr:rowOff>
    </xdr:from>
    <xdr:to>
      <xdr:col>10</xdr:col>
      <xdr:colOff>647700</xdr:colOff>
      <xdr:row>21</xdr:row>
      <xdr:rowOff>45720</xdr:rowOff>
    </xdr:to>
    <xdr:graphicFrame macro="">
      <xdr:nvGraphicFramePr>
        <xdr:cNvPr id="2" name="Chart 1">
          <a:extLst>
            <a:ext uri="{FF2B5EF4-FFF2-40B4-BE49-F238E27FC236}">
              <a16:creationId xmlns:a16="http://schemas.microsoft.com/office/drawing/2014/main" id="{A19193A5-62AA-1894-0274-8EE0501C3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259080</xdr:colOff>
      <xdr:row>6</xdr:row>
      <xdr:rowOff>45720</xdr:rowOff>
    </xdr:from>
    <xdr:to>
      <xdr:col>14</xdr:col>
      <xdr:colOff>121920</xdr:colOff>
      <xdr:row>21</xdr:row>
      <xdr:rowOff>45720</xdr:rowOff>
    </xdr:to>
    <xdr:graphicFrame macro="">
      <xdr:nvGraphicFramePr>
        <xdr:cNvPr id="2" name="Chart 1">
          <a:extLst>
            <a:ext uri="{FF2B5EF4-FFF2-40B4-BE49-F238E27FC236}">
              <a16:creationId xmlns:a16="http://schemas.microsoft.com/office/drawing/2014/main" id="{6FBB05CE-1B22-7DAF-292E-BB7E16584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403860</xdr:colOff>
      <xdr:row>6</xdr:row>
      <xdr:rowOff>45720</xdr:rowOff>
    </xdr:from>
    <xdr:to>
      <xdr:col>11</xdr:col>
      <xdr:colOff>533400</xdr:colOff>
      <xdr:row>21</xdr:row>
      <xdr:rowOff>45720</xdr:rowOff>
    </xdr:to>
    <xdr:graphicFrame macro="">
      <xdr:nvGraphicFramePr>
        <xdr:cNvPr id="2" name="Chart 1">
          <a:extLst>
            <a:ext uri="{FF2B5EF4-FFF2-40B4-BE49-F238E27FC236}">
              <a16:creationId xmlns:a16="http://schemas.microsoft.com/office/drawing/2014/main" id="{C7636BBD-DBB8-755C-D90A-A840577F5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6</xdr:row>
      <xdr:rowOff>45720</xdr:rowOff>
    </xdr:from>
    <xdr:to>
      <xdr:col>13</xdr:col>
      <xdr:colOff>91440</xdr:colOff>
      <xdr:row>21</xdr:row>
      <xdr:rowOff>45720</xdr:rowOff>
    </xdr:to>
    <xdr:graphicFrame macro="">
      <xdr:nvGraphicFramePr>
        <xdr:cNvPr id="2" name="Chart 1">
          <a:extLst>
            <a:ext uri="{FF2B5EF4-FFF2-40B4-BE49-F238E27FC236}">
              <a16:creationId xmlns:a16="http://schemas.microsoft.com/office/drawing/2014/main" id="{97F911F4-049A-C8E6-49D3-E4EE06473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424543</xdr:colOff>
      <xdr:row>4</xdr:row>
      <xdr:rowOff>114300</xdr:rowOff>
    </xdr:from>
    <xdr:to>
      <xdr:col>15</xdr:col>
      <xdr:colOff>424543</xdr:colOff>
      <xdr:row>19</xdr:row>
      <xdr:rowOff>114300</xdr:rowOff>
    </xdr:to>
    <xdr:graphicFrame macro="">
      <xdr:nvGraphicFramePr>
        <xdr:cNvPr id="3" name="Chart 2">
          <a:extLst>
            <a:ext uri="{FF2B5EF4-FFF2-40B4-BE49-F238E27FC236}">
              <a16:creationId xmlns:a16="http://schemas.microsoft.com/office/drawing/2014/main" id="{0D1276A6-EE3D-4C53-AECA-4E521B143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311604</xdr:colOff>
      <xdr:row>4</xdr:row>
      <xdr:rowOff>114300</xdr:rowOff>
    </xdr:from>
    <xdr:to>
      <xdr:col>32</xdr:col>
      <xdr:colOff>296364</xdr:colOff>
      <xdr:row>19</xdr:row>
      <xdr:rowOff>114300</xdr:rowOff>
    </xdr:to>
    <xdr:graphicFrame macro="">
      <xdr:nvGraphicFramePr>
        <xdr:cNvPr id="4" name="Chart 3">
          <a:extLst>
            <a:ext uri="{FF2B5EF4-FFF2-40B4-BE49-F238E27FC236}">
              <a16:creationId xmlns:a16="http://schemas.microsoft.com/office/drawing/2014/main" id="{9E087706-B891-4E22-AEBD-E2FCD6C77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20</xdr:row>
      <xdr:rowOff>0</xdr:rowOff>
    </xdr:from>
    <xdr:to>
      <xdr:col>9</xdr:col>
      <xdr:colOff>457200</xdr:colOff>
      <xdr:row>63</xdr:row>
      <xdr:rowOff>130629</xdr:rowOff>
    </xdr:to>
    <xdr:graphicFrame macro="">
      <xdr:nvGraphicFramePr>
        <xdr:cNvPr id="5" name="Chart 4">
          <a:extLst>
            <a:ext uri="{FF2B5EF4-FFF2-40B4-BE49-F238E27FC236}">
              <a16:creationId xmlns:a16="http://schemas.microsoft.com/office/drawing/2014/main" id="{D762F8EF-BA86-41D9-9522-849AF605C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76198</xdr:colOff>
      <xdr:row>19</xdr:row>
      <xdr:rowOff>174169</xdr:rowOff>
    </xdr:from>
    <xdr:to>
      <xdr:col>25</xdr:col>
      <xdr:colOff>97969</xdr:colOff>
      <xdr:row>42</xdr:row>
      <xdr:rowOff>87086</xdr:rowOff>
    </xdr:to>
    <xdr:graphicFrame macro="">
      <xdr:nvGraphicFramePr>
        <xdr:cNvPr id="6" name="Chart 5">
          <a:extLst>
            <a:ext uri="{FF2B5EF4-FFF2-40B4-BE49-F238E27FC236}">
              <a16:creationId xmlns:a16="http://schemas.microsoft.com/office/drawing/2014/main" id="{0889D285-FCC4-42B3-8A7D-7A268E84B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391889</xdr:colOff>
      <xdr:row>19</xdr:row>
      <xdr:rowOff>163285</xdr:rowOff>
    </xdr:from>
    <xdr:to>
      <xdr:col>32</xdr:col>
      <xdr:colOff>283029</xdr:colOff>
      <xdr:row>63</xdr:row>
      <xdr:rowOff>97971</xdr:rowOff>
    </xdr:to>
    <xdr:graphicFrame macro="">
      <xdr:nvGraphicFramePr>
        <xdr:cNvPr id="7" name="Chart 6">
          <a:extLst>
            <a:ext uri="{FF2B5EF4-FFF2-40B4-BE49-F238E27FC236}">
              <a16:creationId xmlns:a16="http://schemas.microsoft.com/office/drawing/2014/main" id="{C37104AF-7D83-460E-8775-F5D51B26E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97970</xdr:colOff>
      <xdr:row>42</xdr:row>
      <xdr:rowOff>117565</xdr:rowOff>
    </xdr:from>
    <xdr:to>
      <xdr:col>18</xdr:col>
      <xdr:colOff>326571</xdr:colOff>
      <xdr:row>63</xdr:row>
      <xdr:rowOff>130628</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1054371C-20A3-C95D-4F28-5692FA96C08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193970" y="7149737"/>
              <a:ext cx="5105401" cy="355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402772</xdr:colOff>
      <xdr:row>43</xdr:row>
      <xdr:rowOff>97971</xdr:rowOff>
    </xdr:from>
    <xdr:to>
      <xdr:col>25</xdr:col>
      <xdr:colOff>130629</xdr:colOff>
      <xdr:row>49</xdr:row>
      <xdr:rowOff>66403</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AFEABDF3-7941-F296-62C8-957C313BB85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375572" y="7879896"/>
              <a:ext cx="3995057" cy="105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424543</xdr:colOff>
      <xdr:row>50</xdr:row>
      <xdr:rowOff>0</xdr:rowOff>
    </xdr:from>
    <xdr:to>
      <xdr:col>25</xdr:col>
      <xdr:colOff>152400</xdr:colOff>
      <xdr:row>56</xdr:row>
      <xdr:rowOff>87086</xdr:rowOff>
    </xdr:to>
    <mc:AlternateContent xmlns:mc="http://schemas.openxmlformats.org/markup-compatibility/2006">
      <mc:Choice xmlns:a14="http://schemas.microsoft.com/office/drawing/2010/main" Requires="a14">
        <xdr:graphicFrame macro="">
          <xdr:nvGraphicFramePr>
            <xdr:cNvPr id="10" name="Platform">
              <a:extLst>
                <a:ext uri="{FF2B5EF4-FFF2-40B4-BE49-F238E27FC236}">
                  <a16:creationId xmlns:a16="http://schemas.microsoft.com/office/drawing/2014/main" id="{DD390A95-033A-C155-3C8D-4555E3F9200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1397343" y="9048750"/>
              <a:ext cx="3995057" cy="117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279.989872453705" createdVersion="8" refreshedVersion="8" minRefreshableVersion="3" recordCount="99" xr:uid="{5E899DC0-060B-4E48-84AD-4C5F13809064}">
  <cacheSource type="worksheet">
    <worksheetSource name="Table1"/>
  </cacheSource>
  <cacheFields count="12">
    <cacheField name="Date" numFmtId="14">
      <sharedItems containsSemiMixedTypes="0" containsNonDate="0" containsDate="1" containsString="0" minDate="2020-01-06T00:00:00" maxDate="2020-02-18T00:00:00" count="7">
        <d v="2020-01-06T00:00:00"/>
        <d v="2020-01-13T00:00:00"/>
        <d v="2020-01-20T00:00:00"/>
        <d v="2020-01-27T00:00:00"/>
        <d v="2020-02-03T00:00:00"/>
        <d v="2020-02-10T00:00:00"/>
        <d v="2020-02-17T00:00:00"/>
      </sharedItems>
      <fieldGroup par="11"/>
    </cacheField>
    <cacheField name="Product Name" numFmtId="0">
      <sharedItems count="16">
        <s v="Whey Protein"/>
        <s v="Vitamin C"/>
        <s v="Fish Oil"/>
        <s v="Multivitamin"/>
        <s v="Pre-Workout"/>
        <s v="BCAA"/>
        <s v="Creatine"/>
        <s v="Zinc"/>
        <s v="Collagen Peptides"/>
        <s v="Magnesium"/>
        <s v="Ashwagandha"/>
        <s v="Melatonin"/>
        <s v="Biotin"/>
        <s v="Green Tea Extract"/>
        <s v="Iron Supplement"/>
        <s v="Electrolyte Powder"/>
      </sharedItems>
    </cacheField>
    <cacheField name="Category" numFmtId="0">
      <sharedItems/>
    </cacheField>
    <cacheField name="Units Sold" numFmtId="0">
      <sharedItems containsSemiMixedTypes="0" containsString="0" containsNumber="1" containsInteger="1" minValue="126" maxValue="184"/>
    </cacheField>
    <cacheField name="Price" numFmtId="0">
      <sharedItems containsSemiMixedTypes="0" containsString="0" containsNumber="1" minValue="10.16" maxValue="59.25"/>
    </cacheField>
    <cacheField name="Revenue" numFmtId="0">
      <sharedItems containsSemiMixedTypes="0" containsString="0" containsNumber="1" minValue="1358.08" maxValue="9454.32"/>
    </cacheField>
    <cacheField name="Discount" numFmtId="0">
      <sharedItems containsSemiMixedTypes="0" containsString="0" containsNumber="1" minValue="0" maxValue="0.25"/>
    </cacheField>
    <cacheField name="Units Returned" numFmtId="0">
      <sharedItems containsSemiMixedTypes="0" containsString="0" containsNumber="1" containsInteger="1" minValue="0" maxValue="5"/>
    </cacheField>
    <cacheField name="Location" numFmtId="0">
      <sharedItems count="3">
        <s v="Canada"/>
        <s v="UK"/>
        <s v="USA"/>
      </sharedItems>
    </cacheField>
    <cacheField name="Platform" numFmtId="0">
      <sharedItems count="3">
        <s v="Walmart"/>
        <s v="Amazon"/>
        <s v="iHerb"/>
      </sharedItems>
    </cacheField>
    <cacheField name="Days (Date)" numFmtId="0" databaseField="0">
      <fieldGroup base="0">
        <rangePr groupBy="days" startDate="2020-01-06T00:00:00" endDate="2020-02-18T00:00:00"/>
        <groupItems count="368">
          <s v="&lt;06-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2-2020"/>
        </groupItems>
      </fieldGroup>
    </cacheField>
    <cacheField name="Months (Date)" numFmtId="0" databaseField="0">
      <fieldGroup base="0">
        <rangePr groupBy="months" startDate="2020-01-06T00:00:00" endDate="2020-02-18T00:00:00"/>
        <groupItems count="14">
          <s v="&lt;06-01-2020"/>
          <s v="Jan"/>
          <s v="Feb"/>
          <s v="Mar"/>
          <s v="Apr"/>
          <s v="May"/>
          <s v="Jun"/>
          <s v="Jul"/>
          <s v="Aug"/>
          <s v="Sep"/>
          <s v="Oct"/>
          <s v="Nov"/>
          <s v="Dec"/>
          <s v="&gt;18-02-2020"/>
        </groupItems>
      </fieldGroup>
    </cacheField>
  </cacheFields>
  <extLst>
    <ext xmlns:x14="http://schemas.microsoft.com/office/spreadsheetml/2009/9/main" uri="{725AE2AE-9491-48be-B2B4-4EB974FC3084}">
      <x14:pivotCacheDefinition pivotCacheId="1150127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s v="Protein"/>
    <n v="143"/>
    <n v="31.98"/>
    <n v="4573.1400000000003"/>
    <n v="0.03"/>
    <n v="2"/>
    <x v="0"/>
    <x v="0"/>
  </r>
  <r>
    <x v="0"/>
    <x v="1"/>
    <s v="Vitamin"/>
    <n v="139"/>
    <n v="42.51"/>
    <n v="5908.89"/>
    <n v="0.04"/>
    <n v="0"/>
    <x v="1"/>
    <x v="1"/>
  </r>
  <r>
    <x v="0"/>
    <x v="2"/>
    <s v="Omega"/>
    <n v="161"/>
    <n v="12.91"/>
    <n v="2078.5100000000002"/>
    <n v="0.25"/>
    <n v="0"/>
    <x v="0"/>
    <x v="1"/>
  </r>
  <r>
    <x v="0"/>
    <x v="3"/>
    <s v="Vitamin"/>
    <n v="140"/>
    <n v="16.07"/>
    <n v="2249.8000000000002"/>
    <n v="0.08"/>
    <n v="0"/>
    <x v="0"/>
    <x v="0"/>
  </r>
  <r>
    <x v="0"/>
    <x v="4"/>
    <s v="Performance"/>
    <n v="157"/>
    <n v="35.47"/>
    <n v="5568.79"/>
    <n v="0.25"/>
    <n v="3"/>
    <x v="0"/>
    <x v="2"/>
  </r>
  <r>
    <x v="0"/>
    <x v="5"/>
    <s v="Amino Acid"/>
    <n v="154"/>
    <n v="41.19"/>
    <n v="6343.26"/>
    <n v="0.13"/>
    <n v="1"/>
    <x v="1"/>
    <x v="0"/>
  </r>
  <r>
    <x v="0"/>
    <x v="6"/>
    <s v="Performance"/>
    <n v="134"/>
    <n v="32.49"/>
    <n v="4353.66"/>
    <n v="0.05"/>
    <n v="1"/>
    <x v="1"/>
    <x v="0"/>
  </r>
  <r>
    <x v="0"/>
    <x v="7"/>
    <s v="Mineral"/>
    <n v="147"/>
    <n v="46.68"/>
    <n v="6861.96"/>
    <n v="0.19"/>
    <n v="0"/>
    <x v="0"/>
    <x v="1"/>
  </r>
  <r>
    <x v="0"/>
    <x v="8"/>
    <s v="Protein"/>
    <n v="147"/>
    <n v="10.96"/>
    <n v="1611.12"/>
    <n v="0.06"/>
    <n v="2"/>
    <x v="2"/>
    <x v="1"/>
  </r>
  <r>
    <x v="0"/>
    <x v="9"/>
    <s v="Mineral"/>
    <n v="134"/>
    <n v="20.76"/>
    <n v="2781.84"/>
    <n v="0"/>
    <n v="0"/>
    <x v="0"/>
    <x v="1"/>
  </r>
  <r>
    <x v="0"/>
    <x v="10"/>
    <s v="Herbal"/>
    <n v="181"/>
    <n v="15.49"/>
    <n v="2803.69"/>
    <n v="0.14000000000000001"/>
    <n v="1"/>
    <x v="2"/>
    <x v="1"/>
  </r>
  <r>
    <x v="0"/>
    <x v="11"/>
    <s v="Sleep Aid"/>
    <n v="164"/>
    <n v="34.409999999999997"/>
    <n v="5643.24"/>
    <n v="0.04"/>
    <n v="1"/>
    <x v="2"/>
    <x v="0"/>
  </r>
  <r>
    <x v="0"/>
    <x v="12"/>
    <s v="Vitamin"/>
    <n v="159"/>
    <n v="28.79"/>
    <n v="4577.6099999999997"/>
    <n v="0.1"/>
    <n v="1"/>
    <x v="1"/>
    <x v="2"/>
  </r>
  <r>
    <x v="0"/>
    <x v="13"/>
    <s v="Fat Burner"/>
    <n v="143"/>
    <n v="31.88"/>
    <n v="4558.84"/>
    <n v="0.06"/>
    <n v="3"/>
    <x v="1"/>
    <x v="0"/>
  </r>
  <r>
    <x v="0"/>
    <x v="14"/>
    <s v="Mineral"/>
    <n v="149"/>
    <n v="42.97"/>
    <n v="6402.53"/>
    <n v="0.22"/>
    <n v="2"/>
    <x v="0"/>
    <x v="2"/>
  </r>
  <r>
    <x v="0"/>
    <x v="15"/>
    <s v="Hydration"/>
    <n v="154"/>
    <n v="35.92"/>
    <n v="5531.68"/>
    <n v="0.04"/>
    <n v="2"/>
    <x v="2"/>
    <x v="1"/>
  </r>
  <r>
    <x v="1"/>
    <x v="0"/>
    <s v="Protein"/>
    <n v="150"/>
    <n v="12.08"/>
    <n v="1812"/>
    <n v="0.02"/>
    <n v="2"/>
    <x v="1"/>
    <x v="1"/>
  </r>
  <r>
    <x v="1"/>
    <x v="1"/>
    <s v="Vitamin"/>
    <n v="128"/>
    <n v="10.61"/>
    <n v="1358.08"/>
    <n v="0.24"/>
    <n v="2"/>
    <x v="2"/>
    <x v="1"/>
  </r>
  <r>
    <x v="1"/>
    <x v="2"/>
    <s v="Omega"/>
    <n v="145"/>
    <n v="27.49"/>
    <n v="3986.05"/>
    <n v="0.19"/>
    <n v="2"/>
    <x v="2"/>
    <x v="0"/>
  </r>
  <r>
    <x v="1"/>
    <x v="3"/>
    <s v="Vitamin"/>
    <n v="137"/>
    <n v="14.92"/>
    <n v="2044.04"/>
    <n v="0.17"/>
    <n v="2"/>
    <x v="2"/>
    <x v="1"/>
  </r>
  <r>
    <x v="1"/>
    <x v="4"/>
    <s v="Performance"/>
    <n v="141"/>
    <n v="14.11"/>
    <n v="1989.51"/>
    <n v="0.24"/>
    <n v="1"/>
    <x v="0"/>
    <x v="2"/>
  </r>
  <r>
    <x v="1"/>
    <x v="5"/>
    <s v="Amino Acid"/>
    <n v="160"/>
    <n v="29.1"/>
    <n v="4656"/>
    <n v="0.05"/>
    <n v="0"/>
    <x v="0"/>
    <x v="1"/>
  </r>
  <r>
    <x v="1"/>
    <x v="6"/>
    <s v="Performance"/>
    <n v="154"/>
    <n v="42.2"/>
    <n v="6498.8"/>
    <n v="0.13"/>
    <n v="0"/>
    <x v="1"/>
    <x v="0"/>
  </r>
  <r>
    <x v="1"/>
    <x v="7"/>
    <s v="Mineral"/>
    <n v="154"/>
    <n v="47.4"/>
    <n v="7299.6"/>
    <n v="0.2"/>
    <n v="2"/>
    <x v="2"/>
    <x v="1"/>
  </r>
  <r>
    <x v="1"/>
    <x v="8"/>
    <s v="Protein"/>
    <n v="134"/>
    <n v="56.4"/>
    <n v="7557.6"/>
    <n v="0.06"/>
    <n v="1"/>
    <x v="0"/>
    <x v="2"/>
  </r>
  <r>
    <x v="1"/>
    <x v="9"/>
    <s v="Mineral"/>
    <n v="148"/>
    <n v="40.65"/>
    <n v="6016.2"/>
    <n v="0.24"/>
    <n v="1"/>
    <x v="1"/>
    <x v="1"/>
  </r>
  <r>
    <x v="1"/>
    <x v="10"/>
    <s v="Herbal"/>
    <n v="133"/>
    <n v="54.35"/>
    <n v="7228.55"/>
    <n v="0.16"/>
    <n v="1"/>
    <x v="1"/>
    <x v="0"/>
  </r>
  <r>
    <x v="1"/>
    <x v="11"/>
    <s v="Sleep Aid"/>
    <n v="141"/>
    <n v="33.03"/>
    <n v="4657.2299999999996"/>
    <n v="0.21"/>
    <n v="2"/>
    <x v="2"/>
    <x v="1"/>
  </r>
  <r>
    <x v="1"/>
    <x v="12"/>
    <s v="Vitamin"/>
    <n v="161"/>
    <n v="18.87"/>
    <n v="3038.07"/>
    <n v="0.14000000000000001"/>
    <n v="5"/>
    <x v="2"/>
    <x v="2"/>
  </r>
  <r>
    <x v="1"/>
    <x v="13"/>
    <s v="Fat Burner"/>
    <n v="174"/>
    <n v="18.239999999999998"/>
    <n v="3173.76"/>
    <n v="0.03"/>
    <n v="2"/>
    <x v="2"/>
    <x v="0"/>
  </r>
  <r>
    <x v="1"/>
    <x v="14"/>
    <s v="Mineral"/>
    <n v="163"/>
    <n v="35.29"/>
    <n v="5752.27"/>
    <n v="0.21"/>
    <n v="2"/>
    <x v="2"/>
    <x v="1"/>
  </r>
  <r>
    <x v="1"/>
    <x v="15"/>
    <s v="Hydration"/>
    <n v="151"/>
    <n v="35.42"/>
    <n v="5348.42"/>
    <n v="7.0000000000000007E-2"/>
    <n v="2"/>
    <x v="2"/>
    <x v="1"/>
  </r>
  <r>
    <x v="2"/>
    <x v="0"/>
    <s v="Protein"/>
    <n v="157"/>
    <n v="41.81"/>
    <n v="6564.17"/>
    <n v="0.19"/>
    <n v="0"/>
    <x v="2"/>
    <x v="0"/>
  </r>
  <r>
    <x v="2"/>
    <x v="1"/>
    <s v="Vitamin"/>
    <n v="149"/>
    <n v="22.33"/>
    <n v="3327.17"/>
    <n v="0.18"/>
    <n v="5"/>
    <x v="1"/>
    <x v="0"/>
  </r>
  <r>
    <x v="2"/>
    <x v="2"/>
    <s v="Omega"/>
    <n v="131"/>
    <n v="50"/>
    <n v="6550"/>
    <n v="0.05"/>
    <n v="1"/>
    <x v="2"/>
    <x v="0"/>
  </r>
  <r>
    <x v="2"/>
    <x v="3"/>
    <s v="Vitamin"/>
    <n v="159"/>
    <n v="19.399999999999999"/>
    <n v="3084.6"/>
    <n v="0.09"/>
    <n v="2"/>
    <x v="2"/>
    <x v="0"/>
  </r>
  <r>
    <x v="2"/>
    <x v="4"/>
    <s v="Performance"/>
    <n v="152"/>
    <n v="48.05"/>
    <n v="7303.6"/>
    <n v="0.01"/>
    <n v="2"/>
    <x v="2"/>
    <x v="2"/>
  </r>
  <r>
    <x v="2"/>
    <x v="5"/>
    <s v="Amino Acid"/>
    <n v="145"/>
    <n v="17.440000000000001"/>
    <n v="2528.8000000000002"/>
    <n v="0.08"/>
    <n v="3"/>
    <x v="1"/>
    <x v="1"/>
  </r>
  <r>
    <x v="2"/>
    <x v="6"/>
    <s v="Performance"/>
    <n v="148"/>
    <n v="54.31"/>
    <n v="8037.88"/>
    <n v="0.15"/>
    <n v="1"/>
    <x v="1"/>
    <x v="2"/>
  </r>
  <r>
    <x v="2"/>
    <x v="7"/>
    <s v="Mineral"/>
    <n v="147"/>
    <n v="10.16"/>
    <n v="1493.52"/>
    <n v="0.15"/>
    <n v="1"/>
    <x v="2"/>
    <x v="2"/>
  </r>
  <r>
    <x v="2"/>
    <x v="8"/>
    <s v="Protein"/>
    <n v="161"/>
    <n v="39.409999999999997"/>
    <n v="6345.01"/>
    <n v="0.12"/>
    <n v="2"/>
    <x v="1"/>
    <x v="0"/>
  </r>
  <r>
    <x v="2"/>
    <x v="9"/>
    <s v="Mineral"/>
    <n v="126"/>
    <n v="38.07"/>
    <n v="4796.82"/>
    <n v="0.14000000000000001"/>
    <n v="1"/>
    <x v="0"/>
    <x v="1"/>
  </r>
  <r>
    <x v="2"/>
    <x v="10"/>
    <s v="Herbal"/>
    <n v="156"/>
    <n v="23.49"/>
    <n v="3664.44"/>
    <n v="0.21"/>
    <n v="1"/>
    <x v="0"/>
    <x v="2"/>
  </r>
  <r>
    <x v="2"/>
    <x v="11"/>
    <s v="Sleep Aid"/>
    <n v="128"/>
    <n v="26.71"/>
    <n v="3418.88"/>
    <n v="0.2"/>
    <n v="2"/>
    <x v="0"/>
    <x v="2"/>
  </r>
  <r>
    <x v="2"/>
    <x v="12"/>
    <s v="Vitamin"/>
    <n v="161"/>
    <n v="32.01"/>
    <n v="5153.6099999999997"/>
    <n v="0.04"/>
    <n v="1"/>
    <x v="0"/>
    <x v="1"/>
  </r>
  <r>
    <x v="2"/>
    <x v="13"/>
    <s v="Fat Burner"/>
    <n v="148"/>
    <n v="21.03"/>
    <n v="3112.44"/>
    <n v="0.15"/>
    <n v="2"/>
    <x v="1"/>
    <x v="0"/>
  </r>
  <r>
    <x v="2"/>
    <x v="14"/>
    <s v="Mineral"/>
    <n v="155"/>
    <n v="41.81"/>
    <n v="6480.55"/>
    <n v="0.2"/>
    <n v="0"/>
    <x v="1"/>
    <x v="2"/>
  </r>
  <r>
    <x v="2"/>
    <x v="15"/>
    <s v="Hydration"/>
    <n v="147"/>
    <n v="29.19"/>
    <n v="4290.93"/>
    <n v="0.14000000000000001"/>
    <n v="2"/>
    <x v="2"/>
    <x v="1"/>
  </r>
  <r>
    <x v="3"/>
    <x v="0"/>
    <s v="Protein"/>
    <n v="137"/>
    <n v="26.73"/>
    <n v="3662.01"/>
    <n v="0.01"/>
    <n v="0"/>
    <x v="1"/>
    <x v="1"/>
  </r>
  <r>
    <x v="3"/>
    <x v="1"/>
    <s v="Vitamin"/>
    <n v="163"/>
    <n v="35.9"/>
    <n v="5851.7"/>
    <n v="7.0000000000000007E-2"/>
    <n v="4"/>
    <x v="1"/>
    <x v="2"/>
  </r>
  <r>
    <x v="3"/>
    <x v="2"/>
    <s v="Omega"/>
    <n v="141"/>
    <n v="53.64"/>
    <n v="7563.24"/>
    <n v="0.21"/>
    <n v="0"/>
    <x v="0"/>
    <x v="2"/>
  </r>
  <r>
    <x v="3"/>
    <x v="3"/>
    <s v="Vitamin"/>
    <n v="162"/>
    <n v="34.15"/>
    <n v="5532.3"/>
    <n v="0.03"/>
    <n v="0"/>
    <x v="1"/>
    <x v="2"/>
  </r>
  <r>
    <x v="3"/>
    <x v="4"/>
    <s v="Performance"/>
    <n v="158"/>
    <n v="31.84"/>
    <n v="5030.72"/>
    <n v="0.18"/>
    <n v="2"/>
    <x v="2"/>
    <x v="2"/>
  </r>
  <r>
    <x v="3"/>
    <x v="5"/>
    <s v="Amino Acid"/>
    <n v="136"/>
    <n v="16.77"/>
    <n v="2280.7199999999998"/>
    <n v="0.19"/>
    <n v="2"/>
    <x v="2"/>
    <x v="2"/>
  </r>
  <r>
    <x v="3"/>
    <x v="6"/>
    <s v="Performance"/>
    <n v="180"/>
    <n v="12.85"/>
    <n v="2313"/>
    <n v="7.0000000000000007E-2"/>
    <n v="1"/>
    <x v="2"/>
    <x v="0"/>
  </r>
  <r>
    <x v="3"/>
    <x v="7"/>
    <s v="Mineral"/>
    <n v="140"/>
    <n v="47.97"/>
    <n v="6715.8"/>
    <n v="0.11"/>
    <n v="2"/>
    <x v="1"/>
    <x v="2"/>
  </r>
  <r>
    <x v="3"/>
    <x v="8"/>
    <s v="Protein"/>
    <n v="126"/>
    <n v="11.68"/>
    <n v="1471.68"/>
    <n v="0.02"/>
    <n v="3"/>
    <x v="0"/>
    <x v="0"/>
  </r>
  <r>
    <x v="3"/>
    <x v="9"/>
    <s v="Mineral"/>
    <n v="135"/>
    <n v="30.55"/>
    <n v="4124.25"/>
    <n v="0.09"/>
    <n v="3"/>
    <x v="2"/>
    <x v="1"/>
  </r>
  <r>
    <x v="3"/>
    <x v="10"/>
    <s v="Herbal"/>
    <n v="174"/>
    <n v="30.94"/>
    <n v="5383.56"/>
    <n v="7.0000000000000007E-2"/>
    <n v="2"/>
    <x v="0"/>
    <x v="1"/>
  </r>
  <r>
    <x v="3"/>
    <x v="11"/>
    <s v="Sleep Aid"/>
    <n v="156"/>
    <n v="38.270000000000003"/>
    <n v="5970.12"/>
    <n v="0.12"/>
    <n v="4"/>
    <x v="1"/>
    <x v="2"/>
  </r>
  <r>
    <x v="3"/>
    <x v="12"/>
    <s v="Vitamin"/>
    <n v="154"/>
    <n v="15.7"/>
    <n v="2417.8000000000002"/>
    <n v="0.04"/>
    <n v="1"/>
    <x v="1"/>
    <x v="0"/>
  </r>
  <r>
    <x v="3"/>
    <x v="13"/>
    <s v="Fat Burner"/>
    <n v="141"/>
    <n v="38.06"/>
    <n v="5366.46"/>
    <n v="0.13"/>
    <n v="0"/>
    <x v="1"/>
    <x v="2"/>
  </r>
  <r>
    <x v="3"/>
    <x v="14"/>
    <s v="Mineral"/>
    <n v="165"/>
    <n v="13.38"/>
    <n v="2207.6999999999998"/>
    <n v="0.18"/>
    <n v="2"/>
    <x v="2"/>
    <x v="2"/>
  </r>
  <r>
    <x v="3"/>
    <x v="15"/>
    <s v="Hydration"/>
    <n v="129"/>
    <n v="34.229999999999997"/>
    <n v="4415.67"/>
    <n v="0.04"/>
    <n v="3"/>
    <x v="0"/>
    <x v="1"/>
  </r>
  <r>
    <x v="4"/>
    <x v="0"/>
    <s v="Protein"/>
    <n v="165"/>
    <n v="33.11"/>
    <n v="5463.15"/>
    <n v="0.1"/>
    <n v="2"/>
    <x v="0"/>
    <x v="2"/>
  </r>
  <r>
    <x v="4"/>
    <x v="1"/>
    <s v="Vitamin"/>
    <n v="152"/>
    <n v="35.630000000000003"/>
    <n v="5415.76"/>
    <n v="0.2"/>
    <n v="1"/>
    <x v="1"/>
    <x v="1"/>
  </r>
  <r>
    <x v="4"/>
    <x v="2"/>
    <s v="Omega"/>
    <n v="138"/>
    <n v="18.239999999999998"/>
    <n v="2517.12"/>
    <n v="0.08"/>
    <n v="2"/>
    <x v="1"/>
    <x v="1"/>
  </r>
  <r>
    <x v="4"/>
    <x v="3"/>
    <s v="Vitamin"/>
    <n v="151"/>
    <n v="53.89"/>
    <n v="8137.39"/>
    <n v="0.22"/>
    <n v="3"/>
    <x v="1"/>
    <x v="1"/>
  </r>
  <r>
    <x v="4"/>
    <x v="4"/>
    <s v="Performance"/>
    <n v="140"/>
    <n v="59.25"/>
    <n v="8295"/>
    <n v="0.19"/>
    <n v="0"/>
    <x v="1"/>
    <x v="1"/>
  </r>
  <r>
    <x v="4"/>
    <x v="5"/>
    <s v="Amino Acid"/>
    <n v="126"/>
    <n v="55.46"/>
    <n v="6987.96"/>
    <n v="0.13"/>
    <n v="1"/>
    <x v="2"/>
    <x v="2"/>
  </r>
  <r>
    <x v="4"/>
    <x v="6"/>
    <s v="Performance"/>
    <n v="132"/>
    <n v="51.11"/>
    <n v="6746.52"/>
    <n v="0.1"/>
    <n v="2"/>
    <x v="0"/>
    <x v="1"/>
  </r>
  <r>
    <x v="4"/>
    <x v="7"/>
    <s v="Mineral"/>
    <n v="184"/>
    <n v="36.17"/>
    <n v="6655.28"/>
    <n v="7.0000000000000007E-2"/>
    <n v="3"/>
    <x v="0"/>
    <x v="1"/>
  </r>
  <r>
    <x v="4"/>
    <x v="8"/>
    <s v="Protein"/>
    <n v="153"/>
    <n v="49.9"/>
    <n v="7634.7"/>
    <n v="0.1"/>
    <n v="3"/>
    <x v="1"/>
    <x v="1"/>
  </r>
  <r>
    <x v="4"/>
    <x v="9"/>
    <s v="Mineral"/>
    <n v="151"/>
    <n v="44.79"/>
    <n v="6763.29"/>
    <n v="0.2"/>
    <n v="1"/>
    <x v="0"/>
    <x v="1"/>
  </r>
  <r>
    <x v="4"/>
    <x v="10"/>
    <s v="Herbal"/>
    <n v="135"/>
    <n v="19.21"/>
    <n v="2593.35"/>
    <n v="0.22"/>
    <n v="2"/>
    <x v="1"/>
    <x v="1"/>
  </r>
  <r>
    <x v="4"/>
    <x v="11"/>
    <s v="Sleep Aid"/>
    <n v="135"/>
    <n v="40.76"/>
    <n v="5502.6"/>
    <n v="0.02"/>
    <n v="3"/>
    <x v="0"/>
    <x v="2"/>
  </r>
  <r>
    <x v="4"/>
    <x v="12"/>
    <s v="Vitamin"/>
    <n v="162"/>
    <n v="58.36"/>
    <n v="9454.32"/>
    <n v="0.1"/>
    <n v="5"/>
    <x v="1"/>
    <x v="1"/>
  </r>
  <r>
    <x v="4"/>
    <x v="13"/>
    <s v="Fat Burner"/>
    <n v="156"/>
    <n v="18.3"/>
    <n v="2854.8"/>
    <n v="0.22"/>
    <n v="1"/>
    <x v="1"/>
    <x v="2"/>
  </r>
  <r>
    <x v="4"/>
    <x v="14"/>
    <s v="Mineral"/>
    <n v="136"/>
    <n v="37.99"/>
    <n v="5166.6400000000003"/>
    <n v="0.13"/>
    <n v="2"/>
    <x v="2"/>
    <x v="1"/>
  </r>
  <r>
    <x v="4"/>
    <x v="15"/>
    <s v="Hydration"/>
    <n v="168"/>
    <n v="46.57"/>
    <n v="7823.76"/>
    <n v="0.05"/>
    <n v="3"/>
    <x v="0"/>
    <x v="2"/>
  </r>
  <r>
    <x v="5"/>
    <x v="0"/>
    <s v="Protein"/>
    <n v="163"/>
    <n v="45.51"/>
    <n v="7418.13"/>
    <n v="0.08"/>
    <n v="1"/>
    <x v="1"/>
    <x v="2"/>
  </r>
  <r>
    <x v="5"/>
    <x v="1"/>
    <s v="Vitamin"/>
    <n v="163"/>
    <n v="27.89"/>
    <n v="4546.07"/>
    <n v="0.12"/>
    <n v="3"/>
    <x v="1"/>
    <x v="1"/>
  </r>
  <r>
    <x v="5"/>
    <x v="2"/>
    <s v="Omega"/>
    <n v="144"/>
    <n v="45.6"/>
    <n v="6566.4"/>
    <n v="0.21"/>
    <n v="0"/>
    <x v="0"/>
    <x v="1"/>
  </r>
  <r>
    <x v="5"/>
    <x v="3"/>
    <s v="Vitamin"/>
    <n v="140"/>
    <n v="27.4"/>
    <n v="3836"/>
    <n v="0.11"/>
    <n v="2"/>
    <x v="1"/>
    <x v="0"/>
  </r>
  <r>
    <x v="5"/>
    <x v="4"/>
    <s v="Performance"/>
    <n v="155"/>
    <n v="27.62"/>
    <n v="4281.1000000000004"/>
    <n v="0.21"/>
    <n v="1"/>
    <x v="2"/>
    <x v="2"/>
  </r>
  <r>
    <x v="5"/>
    <x v="5"/>
    <s v="Amino Acid"/>
    <n v="134"/>
    <n v="26.26"/>
    <n v="3518.84"/>
    <n v="0.17"/>
    <n v="0"/>
    <x v="1"/>
    <x v="1"/>
  </r>
  <r>
    <x v="5"/>
    <x v="6"/>
    <s v="Performance"/>
    <n v="137"/>
    <n v="21.36"/>
    <n v="2926.32"/>
    <n v="0.21"/>
    <n v="1"/>
    <x v="0"/>
    <x v="2"/>
  </r>
  <r>
    <x v="5"/>
    <x v="7"/>
    <s v="Mineral"/>
    <n v="155"/>
    <n v="35.630000000000003"/>
    <n v="5522.65"/>
    <n v="0.08"/>
    <n v="1"/>
    <x v="1"/>
    <x v="1"/>
  </r>
  <r>
    <x v="5"/>
    <x v="8"/>
    <s v="Protein"/>
    <n v="155"/>
    <n v="53.56"/>
    <n v="8301.7999999999993"/>
    <n v="0.19"/>
    <n v="2"/>
    <x v="1"/>
    <x v="0"/>
  </r>
  <r>
    <x v="5"/>
    <x v="9"/>
    <s v="Mineral"/>
    <n v="156"/>
    <n v="55.36"/>
    <n v="8636.16"/>
    <n v="0.17"/>
    <n v="2"/>
    <x v="1"/>
    <x v="2"/>
  </r>
  <r>
    <x v="5"/>
    <x v="10"/>
    <s v="Herbal"/>
    <n v="132"/>
    <n v="33.020000000000003"/>
    <n v="4358.6400000000003"/>
    <n v="0.22"/>
    <n v="1"/>
    <x v="2"/>
    <x v="2"/>
  </r>
  <r>
    <x v="5"/>
    <x v="11"/>
    <s v="Sleep Aid"/>
    <n v="146"/>
    <n v="15.54"/>
    <n v="2268.84"/>
    <n v="0.11"/>
    <n v="0"/>
    <x v="0"/>
    <x v="1"/>
  </r>
  <r>
    <x v="5"/>
    <x v="12"/>
    <s v="Vitamin"/>
    <n v="142"/>
    <n v="24.61"/>
    <n v="3494.62"/>
    <n v="0.23"/>
    <n v="2"/>
    <x v="1"/>
    <x v="2"/>
  </r>
  <r>
    <x v="5"/>
    <x v="13"/>
    <s v="Fat Burner"/>
    <n v="162"/>
    <n v="58.14"/>
    <n v="9418.68"/>
    <n v="0.18"/>
    <n v="1"/>
    <x v="1"/>
    <x v="0"/>
  </r>
  <r>
    <x v="5"/>
    <x v="14"/>
    <s v="Mineral"/>
    <n v="163"/>
    <n v="53.64"/>
    <n v="8743.32"/>
    <n v="0.03"/>
    <n v="2"/>
    <x v="2"/>
    <x v="0"/>
  </r>
  <r>
    <x v="5"/>
    <x v="15"/>
    <s v="Hydration"/>
    <n v="151"/>
    <n v="22.09"/>
    <n v="3335.59"/>
    <n v="0"/>
    <n v="1"/>
    <x v="2"/>
    <x v="1"/>
  </r>
  <r>
    <x v="6"/>
    <x v="0"/>
    <s v="Protein"/>
    <n v="143"/>
    <n v="24.86"/>
    <n v="3554.98"/>
    <n v="7.0000000000000007E-2"/>
    <n v="2"/>
    <x v="0"/>
    <x v="2"/>
  </r>
  <r>
    <x v="6"/>
    <x v="1"/>
    <s v="Vitamin"/>
    <n v="165"/>
    <n v="39.659999999999997"/>
    <n v="6543.9"/>
    <n v="0.22"/>
    <n v="0"/>
    <x v="0"/>
    <x v="2"/>
  </r>
  <r>
    <x v="6"/>
    <x v="2"/>
    <s v="Omega"/>
    <n v="129"/>
    <n v="49.73"/>
    <n v="6415.17"/>
    <n v="0.01"/>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47E3B-4231-4388-B09F-A0D78400E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21" firstHeaderRow="1" firstDataRow="2" firstDataCol="1"/>
  <pivotFields count="12">
    <pivotField numFmtId="14" showAll="0">
      <items count="8">
        <item x="0"/>
        <item x="1"/>
        <item x="2"/>
        <item x="3"/>
        <item x="4"/>
        <item x="5"/>
        <item x="6"/>
        <item t="default"/>
      </items>
    </pivotField>
    <pivotField axis="axisRow" showAll="0">
      <items count="17">
        <item x="10"/>
        <item x="5"/>
        <item x="12"/>
        <item x="8"/>
        <item x="6"/>
        <item x="15"/>
        <item x="2"/>
        <item x="13"/>
        <item x="14"/>
        <item x="9"/>
        <item x="11"/>
        <item x="3"/>
        <item x="4"/>
        <item x="1"/>
        <item x="0"/>
        <item x="7"/>
        <item t="default"/>
      </items>
    </pivotField>
    <pivotField showAll="0"/>
    <pivotField showAll="0"/>
    <pivotField showAll="0"/>
    <pivotField dataField="1" showAll="0"/>
    <pivotField showAll="0"/>
    <pivotField showAll="0"/>
    <pivotField axis="axisCol" showAll="0">
      <items count="4">
        <item x="0"/>
        <item x="1"/>
        <item x="2"/>
        <item t="default"/>
      </items>
    </pivotField>
    <pivotField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7">
    <i>
      <x/>
    </i>
    <i>
      <x v="1"/>
    </i>
    <i>
      <x v="2"/>
    </i>
    <i>
      <x v="3"/>
    </i>
    <i>
      <x v="4"/>
    </i>
    <i>
      <x v="5"/>
    </i>
    <i>
      <x v="6"/>
    </i>
    <i>
      <x v="7"/>
    </i>
    <i>
      <x v="8"/>
    </i>
    <i>
      <x v="9"/>
    </i>
    <i>
      <x v="10"/>
    </i>
    <i>
      <x v="11"/>
    </i>
    <i>
      <x v="12"/>
    </i>
    <i>
      <x v="13"/>
    </i>
    <i>
      <x v="14"/>
    </i>
    <i>
      <x v="15"/>
    </i>
    <i t="grand">
      <x/>
    </i>
  </rowItems>
  <colFields count="1">
    <field x="8"/>
  </colFields>
  <colItems count="4">
    <i>
      <x/>
    </i>
    <i>
      <x v="1"/>
    </i>
    <i>
      <x v="2"/>
    </i>
    <i t="grand">
      <x/>
    </i>
  </colItems>
  <dataFields count="1">
    <dataField name="Sum of Revenue" fld="5"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7526D4-5CDD-43AB-AF43-F537FDF86C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21" firstHeaderRow="1" firstDataRow="2" firstDataCol="1"/>
  <pivotFields count="12">
    <pivotField numFmtId="14" showAll="0">
      <items count="8">
        <item x="0"/>
        <item x="1"/>
        <item x="2"/>
        <item x="3"/>
        <item x="4"/>
        <item x="5"/>
        <item x="6"/>
        <item t="default"/>
      </items>
    </pivotField>
    <pivotField axis="axisRow" showAll="0">
      <items count="17">
        <item x="10"/>
        <item x="5"/>
        <item x="12"/>
        <item x="8"/>
        <item x="6"/>
        <item x="15"/>
        <item x="2"/>
        <item x="13"/>
        <item x="14"/>
        <item x="9"/>
        <item x="11"/>
        <item x="3"/>
        <item x="4"/>
        <item x="1"/>
        <item x="0"/>
        <item x="7"/>
        <item t="default"/>
      </items>
    </pivotField>
    <pivotField showAll="0"/>
    <pivotField showAll="0"/>
    <pivotField showAll="0"/>
    <pivotField dataField="1" showAll="0"/>
    <pivotField showAll="0"/>
    <pivotField showAll="0"/>
    <pivotField showAll="0">
      <items count="4">
        <item x="0"/>
        <item x="1"/>
        <item x="2"/>
        <item t="default"/>
      </items>
    </pivotField>
    <pivotField axis="axisCol"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7">
    <i>
      <x/>
    </i>
    <i>
      <x v="1"/>
    </i>
    <i>
      <x v="2"/>
    </i>
    <i>
      <x v="3"/>
    </i>
    <i>
      <x v="4"/>
    </i>
    <i>
      <x v="5"/>
    </i>
    <i>
      <x v="6"/>
    </i>
    <i>
      <x v="7"/>
    </i>
    <i>
      <x v="8"/>
    </i>
    <i>
      <x v="9"/>
    </i>
    <i>
      <x v="10"/>
    </i>
    <i>
      <x v="11"/>
    </i>
    <i>
      <x v="12"/>
    </i>
    <i>
      <x v="13"/>
    </i>
    <i>
      <x v="14"/>
    </i>
    <i>
      <x v="15"/>
    </i>
    <i t="grand">
      <x/>
    </i>
  </rowItems>
  <colFields count="1">
    <field x="9"/>
  </colFields>
  <colItems count="4">
    <i>
      <x/>
    </i>
    <i>
      <x v="1"/>
    </i>
    <i>
      <x v="2"/>
    </i>
    <i t="grand">
      <x/>
    </i>
  </colItems>
  <dataFields count="1">
    <dataField name="Sum of Revenue" fld="5" baseField="0" baseItem="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27E4C-F2FB-4ABE-8A93-DFA5ADDCA7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21" firstHeaderRow="1" firstDataRow="2" firstDataCol="1"/>
  <pivotFields count="12">
    <pivotField numFmtId="14" showAll="0">
      <items count="8">
        <item x="0"/>
        <item x="1"/>
        <item x="2"/>
        <item x="3"/>
        <item x="4"/>
        <item x="5"/>
        <item x="6"/>
        <item t="default"/>
      </items>
    </pivotField>
    <pivotField axis="axisRow" showAll="0">
      <items count="17">
        <item x="10"/>
        <item x="5"/>
        <item x="12"/>
        <item x="8"/>
        <item x="6"/>
        <item x="15"/>
        <item x="2"/>
        <item x="13"/>
        <item x="14"/>
        <item x="9"/>
        <item x="11"/>
        <item x="3"/>
        <item x="4"/>
        <item x="1"/>
        <item x="0"/>
        <item x="7"/>
        <item t="default"/>
      </items>
    </pivotField>
    <pivotField showAll="0"/>
    <pivotField showAll="0"/>
    <pivotField showAll="0"/>
    <pivotField showAll="0"/>
    <pivotField dataField="1" showAll="0"/>
    <pivotField showAll="0"/>
    <pivotField axis="axisCol" showAll="0">
      <items count="4">
        <item x="0"/>
        <item x="1"/>
        <item x="2"/>
        <item t="default"/>
      </items>
    </pivotField>
    <pivotField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7">
    <i>
      <x/>
    </i>
    <i>
      <x v="1"/>
    </i>
    <i>
      <x v="2"/>
    </i>
    <i>
      <x v="3"/>
    </i>
    <i>
      <x v="4"/>
    </i>
    <i>
      <x v="5"/>
    </i>
    <i>
      <x v="6"/>
    </i>
    <i>
      <x v="7"/>
    </i>
    <i>
      <x v="8"/>
    </i>
    <i>
      <x v="9"/>
    </i>
    <i>
      <x v="10"/>
    </i>
    <i>
      <x v="11"/>
    </i>
    <i>
      <x v="12"/>
    </i>
    <i>
      <x v="13"/>
    </i>
    <i>
      <x v="14"/>
    </i>
    <i>
      <x v="15"/>
    </i>
    <i t="grand">
      <x/>
    </i>
  </rowItems>
  <colFields count="1">
    <field x="8"/>
  </colFields>
  <colItems count="4">
    <i>
      <x/>
    </i>
    <i>
      <x v="1"/>
    </i>
    <i>
      <x v="2"/>
    </i>
    <i t="grand">
      <x/>
    </i>
  </colItems>
  <dataFields count="1">
    <dataField name="Sum of Discount" fld="6"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5" format="6" series="1">
      <pivotArea type="data" outline="0" fieldPosition="0">
        <references count="2">
          <reference field="4294967294" count="1" selected="0">
            <x v="0"/>
          </reference>
          <reference field="8" count="1" selected="0">
            <x v="0"/>
          </reference>
        </references>
      </pivotArea>
    </chartFormat>
    <chartFormat chart="5" format="7" series="1">
      <pivotArea type="data" outline="0" fieldPosition="0">
        <references count="2">
          <reference field="4294967294" count="1" selected="0">
            <x v="0"/>
          </reference>
          <reference field="8" count="1" selected="0">
            <x v="1"/>
          </reference>
        </references>
      </pivotArea>
    </chartFormat>
    <chartFormat chart="5"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30BFAB-E4DA-4641-839F-BB68A30E09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21" firstHeaderRow="1" firstDataRow="2" firstDataCol="1"/>
  <pivotFields count="12">
    <pivotField numFmtId="14" showAll="0">
      <items count="8">
        <item x="0"/>
        <item x="1"/>
        <item x="2"/>
        <item x="3"/>
        <item x="4"/>
        <item x="5"/>
        <item x="6"/>
        <item t="default"/>
      </items>
    </pivotField>
    <pivotField axis="axisRow" showAll="0">
      <items count="17">
        <item x="10"/>
        <item x="5"/>
        <item x="12"/>
        <item x="8"/>
        <item x="6"/>
        <item x="15"/>
        <item x="2"/>
        <item x="13"/>
        <item x="14"/>
        <item x="9"/>
        <item x="11"/>
        <item x="3"/>
        <item x="4"/>
        <item x="1"/>
        <item x="0"/>
        <item x="7"/>
        <item t="default"/>
      </items>
    </pivotField>
    <pivotField showAll="0"/>
    <pivotField showAll="0"/>
    <pivotField showAll="0"/>
    <pivotField showAll="0"/>
    <pivotField dataField="1" showAll="0"/>
    <pivotField showAll="0"/>
    <pivotField showAll="0">
      <items count="4">
        <item x="0"/>
        <item x="1"/>
        <item x="2"/>
        <item t="default"/>
      </items>
    </pivotField>
    <pivotField axis="axisCol"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7">
    <i>
      <x/>
    </i>
    <i>
      <x v="1"/>
    </i>
    <i>
      <x v="2"/>
    </i>
    <i>
      <x v="3"/>
    </i>
    <i>
      <x v="4"/>
    </i>
    <i>
      <x v="5"/>
    </i>
    <i>
      <x v="6"/>
    </i>
    <i>
      <x v="7"/>
    </i>
    <i>
      <x v="8"/>
    </i>
    <i>
      <x v="9"/>
    </i>
    <i>
      <x v="10"/>
    </i>
    <i>
      <x v="11"/>
    </i>
    <i>
      <x v="12"/>
    </i>
    <i>
      <x v="13"/>
    </i>
    <i>
      <x v="14"/>
    </i>
    <i>
      <x v="15"/>
    </i>
    <i t="grand">
      <x/>
    </i>
  </rowItems>
  <colFields count="1">
    <field x="9"/>
  </colFields>
  <colItems count="4">
    <i>
      <x/>
    </i>
    <i>
      <x v="1"/>
    </i>
    <i>
      <x v="2"/>
    </i>
    <i t="grand">
      <x/>
    </i>
  </colItems>
  <dataFields count="1">
    <dataField name="Sum of Discount" fld="6"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895F8-C1DE-4EB3-982A-E25EC113F643}" name="Sale by 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23" firstHeaderRow="1" firstDataRow="4" firstDataCol="1"/>
  <pivotFields count="12">
    <pivotField axis="axisCol" numFmtId="14" showAll="0">
      <items count="8">
        <item x="0"/>
        <item x="1"/>
        <item x="2"/>
        <item x="3"/>
        <item x="4"/>
        <item x="5"/>
        <item x="6"/>
        <item t="default"/>
      </items>
    </pivotField>
    <pivotField axis="axisRow" showAll="0">
      <items count="17">
        <item x="10"/>
        <item x="5"/>
        <item x="12"/>
        <item x="8"/>
        <item x="6"/>
        <item x="15"/>
        <item x="2"/>
        <item x="13"/>
        <item x="14"/>
        <item x="9"/>
        <item x="11"/>
        <item x="3"/>
        <item x="4"/>
        <item x="1"/>
        <item x="0"/>
        <item x="7"/>
        <item t="default"/>
      </items>
    </pivotField>
    <pivotField showAll="0"/>
    <pivotField dataField="1" showAll="0"/>
    <pivotField showAll="0"/>
    <pivotField showAll="0"/>
    <pivotField showAll="0"/>
    <pivotField showAll="0"/>
    <pivotField showAll="0">
      <items count="4">
        <item x="0"/>
        <item x="1"/>
        <item x="2"/>
        <item t="default"/>
      </items>
    </pivotField>
    <pivotField showAll="0">
      <items count="4">
        <item x="1"/>
        <item x="2"/>
        <item x="0"/>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7">
    <i>
      <x/>
    </i>
    <i>
      <x v="1"/>
    </i>
    <i>
      <x v="2"/>
    </i>
    <i>
      <x v="3"/>
    </i>
    <i>
      <x v="4"/>
    </i>
    <i>
      <x v="5"/>
    </i>
    <i>
      <x v="6"/>
    </i>
    <i>
      <x v="7"/>
    </i>
    <i>
      <x v="8"/>
    </i>
    <i>
      <x v="9"/>
    </i>
    <i>
      <x v="10"/>
    </i>
    <i>
      <x v="11"/>
    </i>
    <i>
      <x v="12"/>
    </i>
    <i>
      <x v="13"/>
    </i>
    <i>
      <x v="14"/>
    </i>
    <i>
      <x v="15"/>
    </i>
    <i t="grand">
      <x/>
    </i>
  </rowItems>
  <colFields count="3">
    <field x="11"/>
    <field x="10"/>
    <field x="0"/>
  </colFields>
  <colItems count="3">
    <i>
      <x v="1"/>
    </i>
    <i>
      <x v="2"/>
    </i>
    <i t="grand">
      <x/>
    </i>
  </colItems>
  <dataFields count="1">
    <dataField name="Sum of Units Sold" fld="3" baseField="0" baseItem="0"/>
  </dataFields>
  <chartFormats count="27">
    <chartFormat chart="0" format="32" series="1">
      <pivotArea type="data" outline="0" fieldPosition="0">
        <references count="2">
          <reference field="4294967294" count="1" selected="0">
            <x v="0"/>
          </reference>
          <reference field="1" count="1" selected="0">
            <x v="0"/>
          </reference>
        </references>
      </pivotArea>
    </chartFormat>
    <chartFormat chart="0" format="33" series="1">
      <pivotArea type="data" outline="0" fieldPosition="0">
        <references count="2">
          <reference field="4294967294" count="1" selected="0">
            <x v="0"/>
          </reference>
          <reference field="1" count="1" selected="0">
            <x v="1"/>
          </reference>
        </references>
      </pivotArea>
    </chartFormat>
    <chartFormat chart="0" format="34" series="1">
      <pivotArea type="data" outline="0" fieldPosition="0">
        <references count="2">
          <reference field="4294967294" count="1" selected="0">
            <x v="0"/>
          </reference>
          <reference field="1" count="1" selected="0">
            <x v="2"/>
          </reference>
        </references>
      </pivotArea>
    </chartFormat>
    <chartFormat chart="0" format="35" series="1">
      <pivotArea type="data" outline="0" fieldPosition="0">
        <references count="2">
          <reference field="4294967294" count="1" selected="0">
            <x v="0"/>
          </reference>
          <reference field="1" count="1" selected="0">
            <x v="3"/>
          </reference>
        </references>
      </pivotArea>
    </chartFormat>
    <chartFormat chart="0" format="36" series="1">
      <pivotArea type="data" outline="0" fieldPosition="0">
        <references count="2">
          <reference field="4294967294" count="1" selected="0">
            <x v="0"/>
          </reference>
          <reference field="1" count="1" selected="0">
            <x v="4"/>
          </reference>
        </references>
      </pivotArea>
    </chartFormat>
    <chartFormat chart="0" format="37" series="1">
      <pivotArea type="data" outline="0" fieldPosition="0">
        <references count="2">
          <reference field="4294967294" count="1" selected="0">
            <x v="0"/>
          </reference>
          <reference field="1" count="1" selected="0">
            <x v="5"/>
          </reference>
        </references>
      </pivotArea>
    </chartFormat>
    <chartFormat chart="0" format="38" series="1">
      <pivotArea type="data" outline="0" fieldPosition="0">
        <references count="2">
          <reference field="4294967294" count="1" selected="0">
            <x v="0"/>
          </reference>
          <reference field="1" count="1" selected="0">
            <x v="6"/>
          </reference>
        </references>
      </pivotArea>
    </chartFormat>
    <chartFormat chart="0" format="39" series="1">
      <pivotArea type="data" outline="0" fieldPosition="0">
        <references count="2">
          <reference field="4294967294" count="1" selected="0">
            <x v="0"/>
          </reference>
          <reference field="1" count="1" selected="0">
            <x v="7"/>
          </reference>
        </references>
      </pivotArea>
    </chartFormat>
    <chartFormat chart="0" format="40" series="1">
      <pivotArea type="data" outline="0" fieldPosition="0">
        <references count="2">
          <reference field="4294967294" count="1" selected="0">
            <x v="0"/>
          </reference>
          <reference field="1" count="1" selected="0">
            <x v="8"/>
          </reference>
        </references>
      </pivotArea>
    </chartFormat>
    <chartFormat chart="0" format="41" series="1">
      <pivotArea type="data" outline="0" fieldPosition="0">
        <references count="2">
          <reference field="4294967294" count="1" selected="0">
            <x v="0"/>
          </reference>
          <reference field="1" count="1" selected="0">
            <x v="9"/>
          </reference>
        </references>
      </pivotArea>
    </chartFormat>
    <chartFormat chart="0" format="42" series="1">
      <pivotArea type="data" outline="0" fieldPosition="0">
        <references count="2">
          <reference field="4294967294" count="1" selected="0">
            <x v="0"/>
          </reference>
          <reference field="1" count="1" selected="0">
            <x v="10"/>
          </reference>
        </references>
      </pivotArea>
    </chartFormat>
    <chartFormat chart="0" format="43" series="1">
      <pivotArea type="data" outline="0" fieldPosition="0">
        <references count="2">
          <reference field="4294967294" count="1" selected="0">
            <x v="0"/>
          </reference>
          <reference field="1" count="1" selected="0">
            <x v="11"/>
          </reference>
        </references>
      </pivotArea>
    </chartFormat>
    <chartFormat chart="0" format="44" series="1">
      <pivotArea type="data" outline="0" fieldPosition="0">
        <references count="2">
          <reference field="4294967294" count="1" selected="0">
            <x v="0"/>
          </reference>
          <reference field="1" count="1" selected="0">
            <x v="12"/>
          </reference>
        </references>
      </pivotArea>
    </chartFormat>
    <chartFormat chart="0" format="45" series="1">
      <pivotArea type="data" outline="0" fieldPosition="0">
        <references count="2">
          <reference field="4294967294" count="1" selected="0">
            <x v="0"/>
          </reference>
          <reference field="1" count="1" selected="0">
            <x v="13"/>
          </reference>
        </references>
      </pivotArea>
    </chartFormat>
    <chartFormat chart="0" format="46" series="1">
      <pivotArea type="data" outline="0" fieldPosition="0">
        <references count="2">
          <reference field="4294967294" count="1" selected="0">
            <x v="0"/>
          </reference>
          <reference field="1" count="1" selected="0">
            <x v="14"/>
          </reference>
        </references>
      </pivotArea>
    </chartFormat>
    <chartFormat chart="0" format="47" series="1">
      <pivotArea type="data" outline="0" fieldPosition="0">
        <references count="2">
          <reference field="4294967294" count="1" selected="0">
            <x v="0"/>
          </reference>
          <reference field="1" count="1" selected="0">
            <x v="15"/>
          </reference>
        </references>
      </pivotArea>
    </chartFormat>
    <chartFormat chart="0" format="48" series="1">
      <pivotArea type="data" outline="0" fieldPosition="0">
        <references count="1">
          <reference field="4294967294" count="1" selected="0">
            <x v="0"/>
          </reference>
        </references>
      </pivotArea>
    </chartFormat>
    <chartFormat chart="0" format="49" series="1">
      <pivotArea type="data" outline="0" fieldPosition="0">
        <references count="2">
          <reference field="4294967294" count="1" selected="0">
            <x v="0"/>
          </reference>
          <reference field="0" count="1" selected="0">
            <x v="1"/>
          </reference>
        </references>
      </pivotArea>
    </chartFormat>
    <chartFormat chart="0" format="50" series="1">
      <pivotArea type="data" outline="0" fieldPosition="0">
        <references count="2">
          <reference field="4294967294" count="1" selected="0">
            <x v="0"/>
          </reference>
          <reference field="0" count="1" selected="0">
            <x v="2"/>
          </reference>
        </references>
      </pivotArea>
    </chartFormat>
    <chartFormat chart="0" format="51" series="1">
      <pivotArea type="data" outline="0" fieldPosition="0">
        <references count="2">
          <reference field="4294967294" count="1" selected="0">
            <x v="0"/>
          </reference>
          <reference field="0" count="1" selected="0">
            <x v="3"/>
          </reference>
        </references>
      </pivotArea>
    </chartFormat>
    <chartFormat chart="0" format="52" series="1">
      <pivotArea type="data" outline="0" fieldPosition="0">
        <references count="2">
          <reference field="4294967294" count="1" selected="0">
            <x v="0"/>
          </reference>
          <reference field="0" count="1" selected="0">
            <x v="4"/>
          </reference>
        </references>
      </pivotArea>
    </chartFormat>
    <chartFormat chart="0" format="53" series="1">
      <pivotArea type="data" outline="0" fieldPosition="0">
        <references count="2">
          <reference field="4294967294" count="1" selected="0">
            <x v="0"/>
          </reference>
          <reference field="0" count="1" selected="0">
            <x v="5"/>
          </reference>
        </references>
      </pivotArea>
    </chartFormat>
    <chartFormat chart="0" format="54" series="1">
      <pivotArea type="data" outline="0" fieldPosition="0">
        <references count="2">
          <reference field="4294967294" count="1" selected="0">
            <x v="0"/>
          </reference>
          <reference field="0" count="1" selected="0">
            <x v="6"/>
          </reference>
        </references>
      </pivotArea>
    </chartFormat>
    <chartFormat chart="16" format="57" series="1">
      <pivotArea type="data" outline="0" fieldPosition="0">
        <references count="2">
          <reference field="4294967294" count="1" selected="0">
            <x v="0"/>
          </reference>
          <reference field="11" count="1" selected="0">
            <x v="1"/>
          </reference>
        </references>
      </pivotArea>
    </chartFormat>
    <chartFormat chart="16" format="58" series="1">
      <pivotArea type="data" outline="0" fieldPosition="0">
        <references count="2">
          <reference field="4294967294" count="1" selected="0">
            <x v="0"/>
          </reference>
          <reference field="11" count="1" selected="0">
            <x v="2"/>
          </reference>
        </references>
      </pivotArea>
    </chartFormat>
    <chartFormat chart="0" format="55" series="1">
      <pivotArea type="data" outline="0" fieldPosition="0">
        <references count="2">
          <reference field="4294967294" count="1" selected="0">
            <x v="0"/>
          </reference>
          <reference field="11" count="1" selected="0">
            <x v="1"/>
          </reference>
        </references>
      </pivotArea>
    </chartFormat>
    <chartFormat chart="0" format="56"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39DD50A-44EE-4261-94F0-92056058288A}" sourceName="Product Name">
  <pivotTables>
    <pivotTable tabId="7" name="PivotTable3"/>
    <pivotTable tabId="10" name="PivotTable3"/>
    <pivotTable tabId="4" name="PivotTable3"/>
    <pivotTable tabId="5" name="PivotTable3"/>
    <pivotTable tabId="8" name="Sale by week"/>
  </pivotTables>
  <data>
    <tabular pivotCacheId="1150127289">
      <items count="16">
        <i x="10" s="1"/>
        <i x="5" s="1"/>
        <i x="12" s="1"/>
        <i x="8" s="1"/>
        <i x="6" s="1"/>
        <i x="15" s="1"/>
        <i x="2" s="1"/>
        <i x="13" s="1"/>
        <i x="14" s="1"/>
        <i x="9" s="1"/>
        <i x="11" s="1"/>
        <i x="3" s="1"/>
        <i x="4" s="1"/>
        <i x="1"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B7E365A-4203-4EAB-9921-03C5CE9FA4D7}" sourceName="Location">
  <pivotTables>
    <pivotTable tabId="7" name="PivotTable3"/>
    <pivotTable tabId="10" name="PivotTable3"/>
    <pivotTable tabId="4" name="PivotTable3"/>
    <pivotTable tabId="5" name="PivotTable3"/>
    <pivotTable tabId="8" name="Sale by week"/>
  </pivotTables>
  <data>
    <tabular pivotCacheId="11501272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33F3B9F-78BF-4BED-9CD0-E0DE59360919}" sourceName="Platform">
  <pivotTables>
    <pivotTable tabId="7" name="PivotTable3"/>
    <pivotTable tabId="10" name="PivotTable3"/>
    <pivotTable tabId="4" name="PivotTable3"/>
    <pivotTable tabId="5" name="PivotTable3"/>
    <pivotTable tabId="8" name="Sale by week"/>
  </pivotTables>
  <data>
    <tabular pivotCacheId="11501272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F3AF2CD-2CDB-488F-A898-7A408222F11D}" cache="Slicer_Product_Name" caption="Product Name" startItem="3" showCaption="0" rowHeight="247650"/>
  <slicer name="Location" xr10:uid="{EAD1DA6F-AD70-452D-9D95-6308A6475211}" cache="Slicer_Location" caption="Location" showCaption="0" rowHeight="247650"/>
  <slicer name="Platform" xr10:uid="{A0BF9F2F-5C10-4FB0-BD17-01F237FDDF38}" cache="Slicer_Platform" caption="Platform"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C5A565-65AD-4B22-9DAD-961199E8E508}" name="Table1" displayName="Table1" ref="A1:J100" totalsRowShown="0">
  <autoFilter ref="A1:J100" xr:uid="{89C5A565-65AD-4B22-9DAD-961199E8E508}"/>
  <tableColumns count="10">
    <tableColumn id="1" xr3:uid="{EF270E0D-ADB5-4560-B3E7-4CACA2C76B49}" name="Date" dataDxfId="0"/>
    <tableColumn id="2" xr3:uid="{AA0F8781-F6C4-4CB4-85ED-A49370C5EBDA}" name="Product Name"/>
    <tableColumn id="3" xr3:uid="{F3ABEED0-9497-42F1-B982-DAD261E9EF15}" name="Category"/>
    <tableColumn id="4" xr3:uid="{B8175714-D66B-4CA7-AED5-12A0F2EF3902}" name="Units Sold"/>
    <tableColumn id="5" xr3:uid="{EA661E8D-C586-4DF0-9790-A54BF2065D99}" name="Price"/>
    <tableColumn id="6" xr3:uid="{CD056163-1FAF-4121-8C00-5F62DE2B1C91}" name="Revenue"/>
    <tableColumn id="7" xr3:uid="{C6FB6700-D4F1-4876-88B9-4EBB7404BE04}" name="Discount"/>
    <tableColumn id="8" xr3:uid="{70E4D4B9-26EA-4BE6-9B77-10AAF8862868}" name="Units Returned"/>
    <tableColumn id="9" xr3:uid="{B719B60B-9947-46D1-B7F0-472F53EC849A}" name="Location"/>
    <tableColumn id="10" xr3:uid="{23B2B7B9-6B50-446E-8296-080465480145}" name="Platform"/>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40F9DF-EB9F-47D6-B8CF-EA0A2F37D66C}">
  <we:reference id="wa200005502" version="1.0.0.13" store="en-US" storeType="OMEX"/>
  <we:alternateReferences>
    <we:reference id="wa200005502" version="1.0.0.13" store="wa200005502" storeType="OMEX"/>
  </we:alternateReferences>
  <we:properties>
    <we:property name="docId" value="&quot;q5HsHBLiUUEPt4KO6104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F56D-7285-49D2-A4DA-567FD236CAC4}">
  <dimension ref="A3:E21"/>
  <sheetViews>
    <sheetView workbookViewId="0">
      <selection activeCell="M21" sqref="M21"/>
    </sheetView>
  </sheetViews>
  <sheetFormatPr defaultRowHeight="14.4" x14ac:dyDescent="0.3"/>
  <cols>
    <col min="1" max="1" width="16" bestFit="1" customWidth="1"/>
    <col min="2" max="2" width="15.5546875" bestFit="1" customWidth="1"/>
    <col min="3" max="4" width="10" bestFit="1" customWidth="1"/>
    <col min="5" max="5" width="10.5546875" bestFit="1" customWidth="1"/>
    <col min="6" max="6" width="9" bestFit="1" customWidth="1"/>
    <col min="7" max="7" width="16.6640625" bestFit="1" customWidth="1"/>
    <col min="8" max="8" width="9" bestFit="1" customWidth="1"/>
    <col min="9" max="9" width="15.5546875" bestFit="1" customWidth="1"/>
    <col min="10" max="10" width="14.88671875" bestFit="1" customWidth="1"/>
    <col min="11" max="11" width="10.44140625" bestFit="1" customWidth="1"/>
    <col min="12" max="12" width="9.21875" bestFit="1" customWidth="1"/>
    <col min="13" max="13" width="11.5546875" bestFit="1" customWidth="1"/>
    <col min="14" max="14" width="11.44140625" bestFit="1" customWidth="1"/>
    <col min="15" max="15" width="9.109375" bestFit="1" customWidth="1"/>
    <col min="16" max="16" width="11.88671875" bestFit="1" customWidth="1"/>
    <col min="17" max="17" width="9" bestFit="1" customWidth="1"/>
    <col min="18" max="18" width="10.5546875" bestFit="1" customWidth="1"/>
  </cols>
  <sheetData>
    <row r="3" spans="1:5" x14ac:dyDescent="0.3">
      <c r="A3" s="3" t="s">
        <v>45</v>
      </c>
      <c r="B3" s="3" t="s">
        <v>44</v>
      </c>
    </row>
    <row r="4" spans="1:5" x14ac:dyDescent="0.3">
      <c r="A4" s="3" t="s">
        <v>42</v>
      </c>
      <c r="B4" t="s">
        <v>12</v>
      </c>
      <c r="C4" t="s">
        <v>16</v>
      </c>
      <c r="D4" t="s">
        <v>30</v>
      </c>
      <c r="E4" t="s">
        <v>43</v>
      </c>
    </row>
    <row r="5" spans="1:5" x14ac:dyDescent="0.3">
      <c r="A5" s="4" t="s">
        <v>32</v>
      </c>
      <c r="B5">
        <v>9048</v>
      </c>
      <c r="C5">
        <v>9821.9</v>
      </c>
      <c r="D5">
        <v>7162.33</v>
      </c>
      <c r="E5">
        <v>26032.230000000003</v>
      </c>
    </row>
    <row r="6" spans="1:5" x14ac:dyDescent="0.3">
      <c r="A6" s="4" t="s">
        <v>24</v>
      </c>
      <c r="B6">
        <v>4656</v>
      </c>
      <c r="C6">
        <v>12390.900000000001</v>
      </c>
      <c r="D6">
        <v>9268.68</v>
      </c>
      <c r="E6">
        <v>26315.58</v>
      </c>
    </row>
    <row r="7" spans="1:5" x14ac:dyDescent="0.3">
      <c r="A7" s="4" t="s">
        <v>36</v>
      </c>
      <c r="B7">
        <v>5153.6099999999997</v>
      </c>
      <c r="C7">
        <v>19944.349999999999</v>
      </c>
      <c r="D7">
        <v>3038.07</v>
      </c>
      <c r="E7">
        <v>28136.03</v>
      </c>
    </row>
    <row r="8" spans="1:5" x14ac:dyDescent="0.3">
      <c r="A8" s="4" t="s">
        <v>29</v>
      </c>
      <c r="B8">
        <v>9029.2800000000007</v>
      </c>
      <c r="C8">
        <v>22281.51</v>
      </c>
      <c r="D8">
        <v>1611.12</v>
      </c>
      <c r="E8">
        <v>32921.910000000003</v>
      </c>
    </row>
    <row r="9" spans="1:5" x14ac:dyDescent="0.3">
      <c r="A9" s="4" t="s">
        <v>26</v>
      </c>
      <c r="B9">
        <v>9672.84</v>
      </c>
      <c r="C9">
        <v>18890.34</v>
      </c>
      <c r="D9">
        <v>2313</v>
      </c>
      <c r="E9">
        <v>30876.18</v>
      </c>
    </row>
    <row r="10" spans="1:5" x14ac:dyDescent="0.3">
      <c r="A10" s="4" t="s">
        <v>40</v>
      </c>
      <c r="B10">
        <v>12239.43</v>
      </c>
      <c r="D10">
        <v>18506.620000000003</v>
      </c>
      <c r="E10">
        <v>30746.050000000003</v>
      </c>
    </row>
    <row r="11" spans="1:5" x14ac:dyDescent="0.3">
      <c r="A11" s="4" t="s">
        <v>18</v>
      </c>
      <c r="B11">
        <v>22623.32</v>
      </c>
      <c r="C11">
        <v>2517.12</v>
      </c>
      <c r="D11">
        <v>10536.05</v>
      </c>
      <c r="E11">
        <v>35676.49</v>
      </c>
    </row>
    <row r="12" spans="1:5" x14ac:dyDescent="0.3">
      <c r="A12" s="4" t="s">
        <v>37</v>
      </c>
      <c r="C12">
        <v>25311.22</v>
      </c>
      <c r="D12">
        <v>3173.76</v>
      </c>
      <c r="E12">
        <v>28484.980000000003</v>
      </c>
    </row>
    <row r="13" spans="1:5" x14ac:dyDescent="0.3">
      <c r="A13" s="4" t="s">
        <v>39</v>
      </c>
      <c r="B13">
        <v>6402.53</v>
      </c>
      <c r="C13">
        <v>6480.55</v>
      </c>
      <c r="D13">
        <v>21869.93</v>
      </c>
      <c r="E13">
        <v>34753.01</v>
      </c>
    </row>
    <row r="14" spans="1:5" x14ac:dyDescent="0.3">
      <c r="A14" s="4" t="s">
        <v>31</v>
      </c>
      <c r="B14">
        <v>14341.95</v>
      </c>
      <c r="C14">
        <v>14652.36</v>
      </c>
      <c r="D14">
        <v>4124.25</v>
      </c>
      <c r="E14">
        <v>33118.559999999998</v>
      </c>
    </row>
    <row r="15" spans="1:5" x14ac:dyDescent="0.3">
      <c r="A15" s="4" t="s">
        <v>34</v>
      </c>
      <c r="B15">
        <v>11190.32</v>
      </c>
      <c r="C15">
        <v>5970.12</v>
      </c>
      <c r="D15">
        <v>10300.469999999999</v>
      </c>
      <c r="E15">
        <v>27460.909999999996</v>
      </c>
    </row>
    <row r="16" spans="1:5" x14ac:dyDescent="0.3">
      <c r="A16" s="4" t="s">
        <v>20</v>
      </c>
      <c r="B16">
        <v>2249.8000000000002</v>
      </c>
      <c r="C16">
        <v>17505.690000000002</v>
      </c>
      <c r="D16">
        <v>5128.6399999999994</v>
      </c>
      <c r="E16">
        <v>24884.13</v>
      </c>
    </row>
    <row r="17" spans="1:5" x14ac:dyDescent="0.3">
      <c r="A17" s="4" t="s">
        <v>21</v>
      </c>
      <c r="B17">
        <v>7558.3</v>
      </c>
      <c r="C17">
        <v>8295</v>
      </c>
      <c r="D17">
        <v>16615.419999999998</v>
      </c>
      <c r="E17">
        <v>32468.719999999998</v>
      </c>
    </row>
    <row r="18" spans="1:5" x14ac:dyDescent="0.3">
      <c r="A18" s="4" t="s">
        <v>14</v>
      </c>
      <c r="B18">
        <v>6543.9</v>
      </c>
      <c r="C18">
        <v>25049.590000000004</v>
      </c>
      <c r="D18">
        <v>1358.08</v>
      </c>
      <c r="E18">
        <v>32951.570000000007</v>
      </c>
    </row>
    <row r="19" spans="1:5" x14ac:dyDescent="0.3">
      <c r="A19" s="4" t="s">
        <v>10</v>
      </c>
      <c r="B19">
        <v>13591.27</v>
      </c>
      <c r="C19">
        <v>12892.14</v>
      </c>
      <c r="D19">
        <v>6564.17</v>
      </c>
      <c r="E19">
        <v>33047.58</v>
      </c>
    </row>
    <row r="20" spans="1:5" x14ac:dyDescent="0.3">
      <c r="A20" s="4" t="s">
        <v>27</v>
      </c>
      <c r="B20">
        <v>13517.24</v>
      </c>
      <c r="C20">
        <v>12238.45</v>
      </c>
      <c r="D20">
        <v>8793.1200000000008</v>
      </c>
      <c r="E20">
        <v>34548.810000000005</v>
      </c>
    </row>
    <row r="21" spans="1:5" x14ac:dyDescent="0.3">
      <c r="A21" s="4" t="s">
        <v>43</v>
      </c>
      <c r="B21">
        <v>147817.78999999998</v>
      </c>
      <c r="C21">
        <v>214241.24</v>
      </c>
      <c r="D21">
        <v>130363.71</v>
      </c>
      <c r="E21">
        <v>492422.73999999993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F4C7-B28E-41DE-B291-CC727F9E906F}">
  <dimension ref="A3:E21"/>
  <sheetViews>
    <sheetView workbookViewId="0">
      <selection activeCell="A3" sqref="A3:E21"/>
    </sheetView>
  </sheetViews>
  <sheetFormatPr defaultRowHeight="14.4" x14ac:dyDescent="0.3"/>
  <cols>
    <col min="1" max="1" width="16" bestFit="1" customWidth="1"/>
    <col min="2" max="2" width="15.5546875" bestFit="1" customWidth="1"/>
    <col min="3" max="4" width="10" bestFit="1" customWidth="1"/>
    <col min="5" max="5" width="10.5546875" bestFit="1" customWidth="1"/>
    <col min="6" max="6" width="9" bestFit="1" customWidth="1"/>
    <col min="7" max="7" width="16.6640625" bestFit="1" customWidth="1"/>
    <col min="8" max="8" width="9" bestFit="1" customWidth="1"/>
    <col min="9" max="9" width="15.5546875" bestFit="1" customWidth="1"/>
    <col min="10" max="10" width="14.88671875" bestFit="1" customWidth="1"/>
    <col min="11" max="11" width="10.44140625" bestFit="1" customWidth="1"/>
    <col min="12" max="12" width="9.21875" bestFit="1" customWidth="1"/>
    <col min="13" max="13" width="11.5546875" bestFit="1" customWidth="1"/>
    <col min="14" max="14" width="11.44140625" bestFit="1" customWidth="1"/>
    <col min="15" max="15" width="9.109375" bestFit="1" customWidth="1"/>
    <col min="16" max="16" width="11.88671875" bestFit="1" customWidth="1"/>
    <col min="17" max="17" width="9" bestFit="1" customWidth="1"/>
    <col min="18" max="18" width="10.5546875" bestFit="1" customWidth="1"/>
  </cols>
  <sheetData>
    <row r="3" spans="1:5" x14ac:dyDescent="0.3">
      <c r="A3" s="3" t="s">
        <v>45</v>
      </c>
      <c r="B3" s="3" t="s">
        <v>44</v>
      </c>
    </row>
    <row r="4" spans="1:5" x14ac:dyDescent="0.3">
      <c r="A4" s="3" t="s">
        <v>42</v>
      </c>
      <c r="B4" t="s">
        <v>17</v>
      </c>
      <c r="C4" t="s">
        <v>23</v>
      </c>
      <c r="D4" t="s">
        <v>13</v>
      </c>
      <c r="E4" t="s">
        <v>43</v>
      </c>
    </row>
    <row r="5" spans="1:5" x14ac:dyDescent="0.3">
      <c r="A5" s="4" t="s">
        <v>32</v>
      </c>
      <c r="B5">
        <v>10780.6</v>
      </c>
      <c r="C5">
        <v>8023.08</v>
      </c>
      <c r="D5">
        <v>7228.55</v>
      </c>
      <c r="E5">
        <v>26032.23</v>
      </c>
    </row>
    <row r="6" spans="1:5" x14ac:dyDescent="0.3">
      <c r="A6" s="4" t="s">
        <v>24</v>
      </c>
      <c r="B6">
        <v>10703.64</v>
      </c>
      <c r="C6">
        <v>9268.68</v>
      </c>
      <c r="D6">
        <v>6343.26</v>
      </c>
      <c r="E6">
        <v>26315.58</v>
      </c>
    </row>
    <row r="7" spans="1:5" x14ac:dyDescent="0.3">
      <c r="A7" s="4" t="s">
        <v>36</v>
      </c>
      <c r="B7">
        <v>14607.93</v>
      </c>
      <c r="C7">
        <v>11110.3</v>
      </c>
      <c r="D7">
        <v>2417.8000000000002</v>
      </c>
      <c r="E7">
        <v>28136.03</v>
      </c>
    </row>
    <row r="8" spans="1:5" x14ac:dyDescent="0.3">
      <c r="A8" s="4" t="s">
        <v>29</v>
      </c>
      <c r="B8">
        <v>9245.82</v>
      </c>
      <c r="C8">
        <v>7557.6</v>
      </c>
      <c r="D8">
        <v>16118.49</v>
      </c>
      <c r="E8">
        <v>32921.909999999996</v>
      </c>
    </row>
    <row r="9" spans="1:5" x14ac:dyDescent="0.3">
      <c r="A9" s="4" t="s">
        <v>26</v>
      </c>
      <c r="B9">
        <v>6746.52</v>
      </c>
      <c r="C9">
        <v>10964.2</v>
      </c>
      <c r="D9">
        <v>13165.46</v>
      </c>
      <c r="E9">
        <v>30876.18</v>
      </c>
    </row>
    <row r="10" spans="1:5" x14ac:dyDescent="0.3">
      <c r="A10" s="4" t="s">
        <v>40</v>
      </c>
      <c r="B10">
        <v>22922.29</v>
      </c>
      <c r="C10">
        <v>7823.76</v>
      </c>
      <c r="E10">
        <v>30746.050000000003</v>
      </c>
    </row>
    <row r="11" spans="1:5" x14ac:dyDescent="0.3">
      <c r="A11" s="4" t="s">
        <v>18</v>
      </c>
      <c r="B11">
        <v>11162.029999999999</v>
      </c>
      <c r="C11">
        <v>7563.24</v>
      </c>
      <c r="D11">
        <v>16951.22</v>
      </c>
      <c r="E11">
        <v>35676.49</v>
      </c>
    </row>
    <row r="12" spans="1:5" x14ac:dyDescent="0.3">
      <c r="A12" s="4" t="s">
        <v>37</v>
      </c>
      <c r="C12">
        <v>8221.26</v>
      </c>
      <c r="D12">
        <v>20263.72</v>
      </c>
      <c r="E12">
        <v>28484.980000000003</v>
      </c>
    </row>
    <row r="13" spans="1:5" x14ac:dyDescent="0.3">
      <c r="A13" s="4" t="s">
        <v>39</v>
      </c>
      <c r="B13">
        <v>10918.91</v>
      </c>
      <c r="C13">
        <v>15090.779999999999</v>
      </c>
      <c r="D13">
        <v>8743.32</v>
      </c>
      <c r="E13">
        <v>34753.009999999995</v>
      </c>
    </row>
    <row r="14" spans="1:5" x14ac:dyDescent="0.3">
      <c r="A14" s="4" t="s">
        <v>31</v>
      </c>
      <c r="B14">
        <v>24482.400000000001</v>
      </c>
      <c r="C14">
        <v>8636.16</v>
      </c>
      <c r="E14">
        <v>33118.559999999998</v>
      </c>
    </row>
    <row r="15" spans="1:5" x14ac:dyDescent="0.3">
      <c r="A15" s="4" t="s">
        <v>34</v>
      </c>
      <c r="B15">
        <v>6926.07</v>
      </c>
      <c r="C15">
        <v>14891.6</v>
      </c>
      <c r="D15">
        <v>5643.24</v>
      </c>
      <c r="E15">
        <v>27460.909999999996</v>
      </c>
    </row>
    <row r="16" spans="1:5" x14ac:dyDescent="0.3">
      <c r="A16" s="4" t="s">
        <v>20</v>
      </c>
      <c r="B16">
        <v>10181.43</v>
      </c>
      <c r="C16">
        <v>5532.3</v>
      </c>
      <c r="D16">
        <v>9170.4</v>
      </c>
      <c r="E16">
        <v>24884.129999999997</v>
      </c>
    </row>
    <row r="17" spans="1:5" x14ac:dyDescent="0.3">
      <c r="A17" s="4" t="s">
        <v>21</v>
      </c>
      <c r="B17">
        <v>8295</v>
      </c>
      <c r="C17">
        <v>24173.72</v>
      </c>
      <c r="E17">
        <v>32468.720000000001</v>
      </c>
    </row>
    <row r="18" spans="1:5" x14ac:dyDescent="0.3">
      <c r="A18" s="4" t="s">
        <v>14</v>
      </c>
      <c r="B18">
        <v>17228.8</v>
      </c>
      <c r="C18">
        <v>12395.599999999999</v>
      </c>
      <c r="D18">
        <v>3327.17</v>
      </c>
      <c r="E18">
        <v>32951.57</v>
      </c>
    </row>
    <row r="19" spans="1:5" x14ac:dyDescent="0.3">
      <c r="A19" s="4" t="s">
        <v>10</v>
      </c>
      <c r="B19">
        <v>5474.01</v>
      </c>
      <c r="C19">
        <v>16436.259999999998</v>
      </c>
      <c r="D19">
        <v>11137.310000000001</v>
      </c>
      <c r="E19">
        <v>33047.58</v>
      </c>
    </row>
    <row r="20" spans="1:5" x14ac:dyDescent="0.3">
      <c r="A20" s="4" t="s">
        <v>27</v>
      </c>
      <c r="B20">
        <v>26339.489999999998</v>
      </c>
      <c r="C20">
        <v>8209.32</v>
      </c>
      <c r="E20">
        <v>34548.81</v>
      </c>
    </row>
    <row r="21" spans="1:5" x14ac:dyDescent="0.3">
      <c r="A21" s="4" t="s">
        <v>43</v>
      </c>
      <c r="B21">
        <v>196014.93999999997</v>
      </c>
      <c r="C21">
        <v>175897.86000000002</v>
      </c>
      <c r="D21">
        <v>120509.94</v>
      </c>
      <c r="E21">
        <v>492422.73999999993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5670-BC79-4084-8289-725850A6060C}">
  <dimension ref="A3:E21"/>
  <sheetViews>
    <sheetView workbookViewId="0">
      <selection activeCell="A3" sqref="A3:E21"/>
    </sheetView>
  </sheetViews>
  <sheetFormatPr defaultRowHeight="14.4" x14ac:dyDescent="0.3"/>
  <cols>
    <col min="1" max="1" width="16" bestFit="1" customWidth="1"/>
    <col min="2" max="2" width="15.5546875" bestFit="1" customWidth="1"/>
    <col min="3" max="4" width="5" bestFit="1" customWidth="1"/>
    <col min="5" max="5" width="10.5546875" bestFit="1" customWidth="1"/>
    <col min="6" max="6" width="7.21875" bestFit="1" customWidth="1"/>
    <col min="7" max="7" width="6.88671875" bestFit="1" customWidth="1"/>
    <col min="8" max="8" width="11.6640625" bestFit="1" customWidth="1"/>
    <col min="9" max="9" width="7" bestFit="1" customWidth="1"/>
    <col min="10" max="10" width="8.88671875" bestFit="1" customWidth="1"/>
    <col min="11" max="11" width="7.5546875" bestFit="1" customWidth="1"/>
    <col min="12" max="12" width="10.5546875" bestFit="1" customWidth="1"/>
    <col min="13" max="13" width="11.5546875" bestFit="1" customWidth="1"/>
    <col min="14" max="14" width="11.44140625" bestFit="1" customWidth="1"/>
    <col min="15" max="15" width="9.109375" bestFit="1" customWidth="1"/>
    <col min="16" max="16" width="11.88671875" bestFit="1" customWidth="1"/>
    <col min="17" max="17" width="4.5546875" bestFit="1" customWidth="1"/>
    <col min="18" max="18" width="10.5546875" bestFit="1" customWidth="1"/>
    <col min="19" max="21" width="5" bestFit="1" customWidth="1"/>
    <col min="22" max="22" width="4" bestFit="1" customWidth="1"/>
    <col min="23" max="27" width="5" bestFit="1" customWidth="1"/>
    <col min="28" max="28" width="10.5546875" bestFit="1" customWidth="1"/>
  </cols>
  <sheetData>
    <row r="3" spans="1:5" x14ac:dyDescent="0.3">
      <c r="A3" s="3" t="s">
        <v>47</v>
      </c>
      <c r="B3" s="3" t="s">
        <v>44</v>
      </c>
    </row>
    <row r="4" spans="1:5" x14ac:dyDescent="0.3">
      <c r="A4" s="3" t="s">
        <v>42</v>
      </c>
      <c r="B4" t="s">
        <v>12</v>
      </c>
      <c r="C4" t="s">
        <v>16</v>
      </c>
      <c r="D4" t="s">
        <v>30</v>
      </c>
      <c r="E4" t="s">
        <v>43</v>
      </c>
    </row>
    <row r="5" spans="1:5" x14ac:dyDescent="0.3">
      <c r="A5" s="4" t="s">
        <v>32</v>
      </c>
      <c r="B5">
        <v>0.28000000000000003</v>
      </c>
      <c r="C5">
        <v>0.38</v>
      </c>
      <c r="D5">
        <v>0.36</v>
      </c>
      <c r="E5">
        <v>1.02</v>
      </c>
    </row>
    <row r="6" spans="1:5" x14ac:dyDescent="0.3">
      <c r="A6" s="4" t="s">
        <v>24</v>
      </c>
      <c r="B6">
        <v>0.05</v>
      </c>
      <c r="C6">
        <v>0.38</v>
      </c>
      <c r="D6">
        <v>0.32</v>
      </c>
      <c r="E6">
        <v>0.75</v>
      </c>
    </row>
    <row r="7" spans="1:5" x14ac:dyDescent="0.3">
      <c r="A7" s="4" t="s">
        <v>36</v>
      </c>
      <c r="B7">
        <v>0.04</v>
      </c>
      <c r="C7">
        <v>0.47000000000000003</v>
      </c>
      <c r="D7">
        <v>0.14000000000000001</v>
      </c>
      <c r="E7">
        <v>0.65</v>
      </c>
    </row>
    <row r="8" spans="1:5" x14ac:dyDescent="0.3">
      <c r="A8" s="4" t="s">
        <v>29</v>
      </c>
      <c r="B8">
        <v>0.08</v>
      </c>
      <c r="C8">
        <v>0.41000000000000003</v>
      </c>
      <c r="D8">
        <v>0.06</v>
      </c>
      <c r="E8">
        <v>0.55000000000000004</v>
      </c>
    </row>
    <row r="9" spans="1:5" x14ac:dyDescent="0.3">
      <c r="A9" s="4" t="s">
        <v>26</v>
      </c>
      <c r="B9">
        <v>0.31</v>
      </c>
      <c r="C9">
        <v>0.32999999999999996</v>
      </c>
      <c r="D9">
        <v>7.0000000000000007E-2</v>
      </c>
      <c r="E9">
        <v>0.71</v>
      </c>
    </row>
    <row r="10" spans="1:5" x14ac:dyDescent="0.3">
      <c r="A10" s="4" t="s">
        <v>40</v>
      </c>
      <c r="B10">
        <v>0.09</v>
      </c>
      <c r="D10">
        <v>0.25</v>
      </c>
      <c r="E10">
        <v>0.33999999999999997</v>
      </c>
    </row>
    <row r="11" spans="1:5" x14ac:dyDescent="0.3">
      <c r="A11" s="4" t="s">
        <v>18</v>
      </c>
      <c r="B11">
        <v>0.67999999999999994</v>
      </c>
      <c r="C11">
        <v>0.08</v>
      </c>
      <c r="D11">
        <v>0.24</v>
      </c>
      <c r="E11">
        <v>0.99999999999999989</v>
      </c>
    </row>
    <row r="12" spans="1:5" x14ac:dyDescent="0.3">
      <c r="A12" s="4" t="s">
        <v>37</v>
      </c>
      <c r="C12">
        <v>0.74</v>
      </c>
      <c r="D12">
        <v>0.03</v>
      </c>
      <c r="E12">
        <v>0.77</v>
      </c>
    </row>
    <row r="13" spans="1:5" x14ac:dyDescent="0.3">
      <c r="A13" s="4" t="s">
        <v>39</v>
      </c>
      <c r="B13">
        <v>0.22</v>
      </c>
      <c r="C13">
        <v>0.2</v>
      </c>
      <c r="D13">
        <v>0.55000000000000004</v>
      </c>
      <c r="E13">
        <v>0.97000000000000008</v>
      </c>
    </row>
    <row r="14" spans="1:5" x14ac:dyDescent="0.3">
      <c r="A14" s="4" t="s">
        <v>31</v>
      </c>
      <c r="B14">
        <v>0.34</v>
      </c>
      <c r="C14">
        <v>0.41000000000000003</v>
      </c>
      <c r="D14">
        <v>0.09</v>
      </c>
      <c r="E14">
        <v>0.84</v>
      </c>
    </row>
    <row r="15" spans="1:5" x14ac:dyDescent="0.3">
      <c r="A15" s="4" t="s">
        <v>34</v>
      </c>
      <c r="B15">
        <v>0.33</v>
      </c>
      <c r="C15">
        <v>0.12</v>
      </c>
      <c r="D15">
        <v>0.25</v>
      </c>
      <c r="E15">
        <v>0.7</v>
      </c>
    </row>
    <row r="16" spans="1:5" x14ac:dyDescent="0.3">
      <c r="A16" s="4" t="s">
        <v>20</v>
      </c>
      <c r="B16">
        <v>0.08</v>
      </c>
      <c r="C16">
        <v>0.36</v>
      </c>
      <c r="D16">
        <v>0.26</v>
      </c>
      <c r="E16">
        <v>0.7</v>
      </c>
    </row>
    <row r="17" spans="1:5" x14ac:dyDescent="0.3">
      <c r="A17" s="4" t="s">
        <v>21</v>
      </c>
      <c r="B17">
        <v>0.49</v>
      </c>
      <c r="C17">
        <v>0.19</v>
      </c>
      <c r="D17">
        <v>0.4</v>
      </c>
      <c r="E17">
        <v>1.08</v>
      </c>
    </row>
    <row r="18" spans="1:5" x14ac:dyDescent="0.3">
      <c r="A18" s="4" t="s">
        <v>14</v>
      </c>
      <c r="B18">
        <v>0.22</v>
      </c>
      <c r="C18">
        <v>0.6100000000000001</v>
      </c>
      <c r="D18">
        <v>0.24</v>
      </c>
      <c r="E18">
        <v>1.07</v>
      </c>
    </row>
    <row r="19" spans="1:5" x14ac:dyDescent="0.3">
      <c r="A19" s="4" t="s">
        <v>10</v>
      </c>
      <c r="B19">
        <v>0.2</v>
      </c>
      <c r="C19">
        <v>0.11</v>
      </c>
      <c r="D19">
        <v>0.19</v>
      </c>
      <c r="E19">
        <v>0.5</v>
      </c>
    </row>
    <row r="20" spans="1:5" x14ac:dyDescent="0.3">
      <c r="A20" s="4" t="s">
        <v>27</v>
      </c>
      <c r="B20">
        <v>0.26</v>
      </c>
      <c r="C20">
        <v>0.19</v>
      </c>
      <c r="D20">
        <v>0.35</v>
      </c>
      <c r="E20">
        <v>0.8</v>
      </c>
    </row>
    <row r="21" spans="1:5" x14ac:dyDescent="0.3">
      <c r="A21" s="4" t="s">
        <v>43</v>
      </c>
      <c r="B21">
        <v>3.6700000000000008</v>
      </c>
      <c r="C21">
        <v>4.9800000000000013</v>
      </c>
      <c r="D21">
        <v>3.8</v>
      </c>
      <c r="E21">
        <v>12.45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82BC-2710-4708-A020-EFF157256027}">
  <dimension ref="A3:E21"/>
  <sheetViews>
    <sheetView workbookViewId="0">
      <selection activeCell="M19" sqref="M19"/>
    </sheetView>
  </sheetViews>
  <sheetFormatPr defaultRowHeight="14.4" x14ac:dyDescent="0.3"/>
  <cols>
    <col min="1" max="1" width="16" bestFit="1" customWidth="1"/>
    <col min="2" max="2" width="15.5546875" bestFit="1" customWidth="1"/>
    <col min="3" max="3" width="5.6640625" bestFit="1" customWidth="1"/>
    <col min="4" max="4" width="8.21875" bestFit="1" customWidth="1"/>
    <col min="5" max="5" width="10.5546875" bestFit="1" customWidth="1"/>
    <col min="6" max="6" width="8.109375" bestFit="1" customWidth="1"/>
    <col min="7" max="7" width="16.6640625" bestFit="1" customWidth="1"/>
    <col min="8" max="8" width="7.21875" bestFit="1" customWidth="1"/>
    <col min="9" max="9" width="15.5546875" bestFit="1" customWidth="1"/>
    <col min="10" max="10" width="14.88671875" bestFit="1" customWidth="1"/>
    <col min="11" max="11" width="10.44140625" bestFit="1" customWidth="1"/>
    <col min="12" max="12" width="9.21875" bestFit="1" customWidth="1"/>
    <col min="13" max="13" width="11.5546875" bestFit="1" customWidth="1"/>
    <col min="14" max="14" width="11.44140625" bestFit="1" customWidth="1"/>
    <col min="15" max="15" width="9.109375" bestFit="1" customWidth="1"/>
    <col min="16" max="16" width="11.88671875" bestFit="1" customWidth="1"/>
    <col min="17" max="17" width="5" bestFit="1" customWidth="1"/>
    <col min="18" max="18" width="10.5546875" bestFit="1" customWidth="1"/>
  </cols>
  <sheetData>
    <row r="3" spans="1:5" x14ac:dyDescent="0.3">
      <c r="A3" s="3" t="s">
        <v>47</v>
      </c>
      <c r="B3" s="3" t="s">
        <v>44</v>
      </c>
    </row>
    <row r="4" spans="1:5" x14ac:dyDescent="0.3">
      <c r="A4" s="3" t="s">
        <v>42</v>
      </c>
      <c r="B4" t="s">
        <v>17</v>
      </c>
      <c r="C4" t="s">
        <v>23</v>
      </c>
      <c r="D4" t="s">
        <v>13</v>
      </c>
      <c r="E4" t="s">
        <v>43</v>
      </c>
    </row>
    <row r="5" spans="1:5" x14ac:dyDescent="0.3">
      <c r="A5" s="4" t="s">
        <v>32</v>
      </c>
      <c r="B5">
        <v>0.43000000000000005</v>
      </c>
      <c r="C5">
        <v>0.43</v>
      </c>
      <c r="D5">
        <v>0.16</v>
      </c>
      <c r="E5">
        <v>1.02</v>
      </c>
    </row>
    <row r="6" spans="1:5" x14ac:dyDescent="0.3">
      <c r="A6" s="4" t="s">
        <v>24</v>
      </c>
      <c r="B6">
        <v>0.30000000000000004</v>
      </c>
      <c r="C6">
        <v>0.32</v>
      </c>
      <c r="D6">
        <v>0.13</v>
      </c>
      <c r="E6">
        <v>0.75000000000000011</v>
      </c>
    </row>
    <row r="7" spans="1:5" x14ac:dyDescent="0.3">
      <c r="A7" s="4" t="s">
        <v>36</v>
      </c>
      <c r="B7">
        <v>0.14000000000000001</v>
      </c>
      <c r="C7">
        <v>0.47000000000000003</v>
      </c>
      <c r="D7">
        <v>0.04</v>
      </c>
      <c r="E7">
        <v>0.65000000000000013</v>
      </c>
    </row>
    <row r="8" spans="1:5" x14ac:dyDescent="0.3">
      <c r="A8" s="4" t="s">
        <v>29</v>
      </c>
      <c r="B8">
        <v>0.16</v>
      </c>
      <c r="C8">
        <v>0.06</v>
      </c>
      <c r="D8">
        <v>0.32999999999999996</v>
      </c>
      <c r="E8">
        <v>0.54999999999999993</v>
      </c>
    </row>
    <row r="9" spans="1:5" x14ac:dyDescent="0.3">
      <c r="A9" s="4" t="s">
        <v>26</v>
      </c>
      <c r="B9">
        <v>0.1</v>
      </c>
      <c r="C9">
        <v>0.36</v>
      </c>
      <c r="D9">
        <v>0.25</v>
      </c>
      <c r="E9">
        <v>0.71</v>
      </c>
    </row>
    <row r="10" spans="1:5" x14ac:dyDescent="0.3">
      <c r="A10" s="4" t="s">
        <v>40</v>
      </c>
      <c r="B10">
        <v>0.28999999999999998</v>
      </c>
      <c r="C10">
        <v>0.05</v>
      </c>
      <c r="E10">
        <v>0.33999999999999997</v>
      </c>
    </row>
    <row r="11" spans="1:5" x14ac:dyDescent="0.3">
      <c r="A11" s="4" t="s">
        <v>18</v>
      </c>
      <c r="B11">
        <v>0.54</v>
      </c>
      <c r="C11">
        <v>0.21</v>
      </c>
      <c r="D11">
        <v>0.25</v>
      </c>
      <c r="E11">
        <v>1</v>
      </c>
    </row>
    <row r="12" spans="1:5" x14ac:dyDescent="0.3">
      <c r="A12" s="4" t="s">
        <v>37</v>
      </c>
      <c r="C12">
        <v>0.35</v>
      </c>
      <c r="D12">
        <v>0.42</v>
      </c>
      <c r="E12">
        <v>0.77</v>
      </c>
    </row>
    <row r="13" spans="1:5" x14ac:dyDescent="0.3">
      <c r="A13" s="4" t="s">
        <v>39</v>
      </c>
      <c r="B13">
        <v>0.33999999999999997</v>
      </c>
      <c r="C13">
        <v>0.60000000000000009</v>
      </c>
      <c r="D13">
        <v>0.03</v>
      </c>
      <c r="E13">
        <v>0.97000000000000008</v>
      </c>
    </row>
    <row r="14" spans="1:5" x14ac:dyDescent="0.3">
      <c r="A14" s="4" t="s">
        <v>31</v>
      </c>
      <c r="B14">
        <v>0.66999999999999993</v>
      </c>
      <c r="C14">
        <v>0.17</v>
      </c>
      <c r="E14">
        <v>0.84</v>
      </c>
    </row>
    <row r="15" spans="1:5" x14ac:dyDescent="0.3">
      <c r="A15" s="4" t="s">
        <v>34</v>
      </c>
      <c r="B15">
        <v>0.32</v>
      </c>
      <c r="C15">
        <v>0.34</v>
      </c>
      <c r="D15">
        <v>0.04</v>
      </c>
      <c r="E15">
        <v>0.70000000000000007</v>
      </c>
    </row>
    <row r="16" spans="1:5" x14ac:dyDescent="0.3">
      <c r="A16" s="4" t="s">
        <v>20</v>
      </c>
      <c r="B16">
        <v>0.39</v>
      </c>
      <c r="C16">
        <v>0.03</v>
      </c>
      <c r="D16">
        <v>0.27999999999999997</v>
      </c>
      <c r="E16">
        <v>0.7</v>
      </c>
    </row>
    <row r="17" spans="1:5" x14ac:dyDescent="0.3">
      <c r="A17" s="4" t="s">
        <v>21</v>
      </c>
      <c r="B17">
        <v>0.19</v>
      </c>
      <c r="C17">
        <v>0.8899999999999999</v>
      </c>
      <c r="E17">
        <v>1.0799999999999998</v>
      </c>
    </row>
    <row r="18" spans="1:5" x14ac:dyDescent="0.3">
      <c r="A18" s="4" t="s">
        <v>14</v>
      </c>
      <c r="B18">
        <v>0.6</v>
      </c>
      <c r="C18">
        <v>0.29000000000000004</v>
      </c>
      <c r="D18">
        <v>0.18</v>
      </c>
      <c r="E18">
        <v>1.07</v>
      </c>
    </row>
    <row r="19" spans="1:5" x14ac:dyDescent="0.3">
      <c r="A19" s="4" t="s">
        <v>10</v>
      </c>
      <c r="B19">
        <v>0.03</v>
      </c>
      <c r="C19">
        <v>0.25</v>
      </c>
      <c r="D19">
        <v>0.22</v>
      </c>
      <c r="E19">
        <v>0.5</v>
      </c>
    </row>
    <row r="20" spans="1:5" x14ac:dyDescent="0.3">
      <c r="A20" s="4" t="s">
        <v>27</v>
      </c>
      <c r="B20">
        <v>0.54</v>
      </c>
      <c r="C20">
        <v>0.26</v>
      </c>
      <c r="E20">
        <v>0.8</v>
      </c>
    </row>
    <row r="21" spans="1:5" x14ac:dyDescent="0.3">
      <c r="A21" s="4" t="s">
        <v>43</v>
      </c>
      <c r="B21">
        <v>5.04</v>
      </c>
      <c r="C21">
        <v>5.0799999999999992</v>
      </c>
      <c r="D21">
        <v>2.33</v>
      </c>
      <c r="E21">
        <v>12.45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BB7D-B008-499E-8850-F03D79B6920E}">
  <dimension ref="A3:D23"/>
  <sheetViews>
    <sheetView workbookViewId="0">
      <selection activeCell="A3" sqref="A3:D23"/>
    </sheetView>
  </sheetViews>
  <sheetFormatPr defaultRowHeight="14.4" x14ac:dyDescent="0.3"/>
  <cols>
    <col min="1" max="1" width="16" bestFit="1" customWidth="1"/>
    <col min="2" max="2" width="15.5546875" bestFit="1" customWidth="1"/>
    <col min="3" max="3" width="5.77734375" bestFit="1" customWidth="1"/>
    <col min="4" max="4" width="10.5546875" bestFit="1" customWidth="1"/>
    <col min="5" max="8" width="10.33203125" bestFit="1" customWidth="1"/>
    <col min="9" max="9" width="10.5546875" bestFit="1" customWidth="1"/>
    <col min="10" max="10" width="14.88671875" bestFit="1" customWidth="1"/>
    <col min="11" max="11" width="10.44140625" bestFit="1" customWidth="1"/>
    <col min="12" max="12" width="9.21875" bestFit="1" customWidth="1"/>
    <col min="13" max="13" width="11.5546875" bestFit="1" customWidth="1"/>
    <col min="14" max="14" width="11.44140625" bestFit="1" customWidth="1"/>
    <col min="15" max="15" width="9.109375" bestFit="1" customWidth="1"/>
    <col min="16" max="16" width="11.88671875" bestFit="1" customWidth="1"/>
    <col min="17" max="17" width="4.5546875" bestFit="1" customWidth="1"/>
    <col min="18" max="18" width="10.5546875" bestFit="1" customWidth="1"/>
    <col min="19" max="19" width="21.33203125" bestFit="1" customWidth="1"/>
    <col min="21" max="21" width="5.77734375" bestFit="1" customWidth="1"/>
    <col min="22" max="22" width="11.6640625" bestFit="1" customWidth="1"/>
    <col min="23" max="23" width="17.21875" bestFit="1" customWidth="1"/>
    <col min="24" max="24" width="5.77734375" bestFit="1" customWidth="1"/>
    <col min="25" max="25" width="20.109375" bestFit="1" customWidth="1"/>
    <col min="26" max="26" width="16.5546875" bestFit="1" customWidth="1"/>
    <col min="27" max="27" width="5.77734375" bestFit="1" customWidth="1"/>
    <col min="28" max="28" width="19.44140625" bestFit="1" customWidth="1"/>
    <col min="29" max="29" width="12.109375" bestFit="1" customWidth="1"/>
    <col min="30" max="30" width="5.77734375" bestFit="1" customWidth="1"/>
    <col min="31" max="31" width="15" bestFit="1" customWidth="1"/>
    <col min="32" max="32" width="10.88671875" bestFit="1" customWidth="1"/>
    <col min="33" max="33" width="5.77734375" bestFit="1" customWidth="1"/>
    <col min="34" max="34" width="13.77734375" bestFit="1" customWidth="1"/>
    <col min="35" max="35" width="13.21875" bestFit="1" customWidth="1"/>
    <col min="36" max="36" width="5.77734375" bestFit="1" customWidth="1"/>
    <col min="37" max="37" width="16.109375" bestFit="1" customWidth="1"/>
    <col min="38" max="38" width="13.109375" bestFit="1" customWidth="1"/>
    <col min="39" max="39" width="5.77734375" bestFit="1" customWidth="1"/>
    <col min="40" max="40" width="16" bestFit="1" customWidth="1"/>
    <col min="41" max="41" width="10.77734375" bestFit="1" customWidth="1"/>
    <col min="42" max="42" width="5.77734375" bestFit="1" customWidth="1"/>
    <col min="43" max="43" width="13.6640625" bestFit="1" customWidth="1"/>
    <col min="44" max="44" width="13.5546875" bestFit="1" customWidth="1"/>
    <col min="45" max="45" width="5.77734375" bestFit="1" customWidth="1"/>
    <col min="46" max="46" width="16.44140625" bestFit="1" customWidth="1"/>
    <col min="47" max="47" width="6.21875" bestFit="1" customWidth="1"/>
    <col min="48" max="48" width="5.77734375" bestFit="1" customWidth="1"/>
    <col min="49" max="49" width="9" bestFit="1" customWidth="1"/>
    <col min="50" max="50" width="10.5546875" bestFit="1" customWidth="1"/>
  </cols>
  <sheetData>
    <row r="3" spans="1:4" x14ac:dyDescent="0.3">
      <c r="A3" s="3" t="s">
        <v>46</v>
      </c>
      <c r="B3" s="3" t="s">
        <v>44</v>
      </c>
    </row>
    <row r="4" spans="1:4" x14ac:dyDescent="0.3">
      <c r="B4" t="s">
        <v>48</v>
      </c>
      <c r="C4" t="s">
        <v>49</v>
      </c>
      <c r="D4" t="s">
        <v>43</v>
      </c>
    </row>
    <row r="6" spans="1:4" x14ac:dyDescent="0.3">
      <c r="A6" s="3" t="s">
        <v>42</v>
      </c>
    </row>
    <row r="7" spans="1:4" x14ac:dyDescent="0.3">
      <c r="A7" s="4" t="s">
        <v>32</v>
      </c>
      <c r="B7">
        <v>644</v>
      </c>
      <c r="C7">
        <v>267</v>
      </c>
      <c r="D7">
        <v>911</v>
      </c>
    </row>
    <row r="8" spans="1:4" x14ac:dyDescent="0.3">
      <c r="A8" s="4" t="s">
        <v>24</v>
      </c>
      <c r="B8">
        <v>595</v>
      </c>
      <c r="C8">
        <v>260</v>
      </c>
      <c r="D8">
        <v>855</v>
      </c>
    </row>
    <row r="9" spans="1:4" x14ac:dyDescent="0.3">
      <c r="A9" s="4" t="s">
        <v>36</v>
      </c>
      <c r="B9">
        <v>635</v>
      </c>
      <c r="C9">
        <v>304</v>
      </c>
      <c r="D9">
        <v>939</v>
      </c>
    </row>
    <row r="10" spans="1:4" x14ac:dyDescent="0.3">
      <c r="A10" s="4" t="s">
        <v>29</v>
      </c>
      <c r="B10">
        <v>568</v>
      </c>
      <c r="C10">
        <v>308</v>
      </c>
      <c r="D10">
        <v>876</v>
      </c>
    </row>
    <row r="11" spans="1:4" x14ac:dyDescent="0.3">
      <c r="A11" s="4" t="s">
        <v>26</v>
      </c>
      <c r="B11">
        <v>616</v>
      </c>
      <c r="C11">
        <v>269</v>
      </c>
      <c r="D11">
        <v>885</v>
      </c>
    </row>
    <row r="12" spans="1:4" x14ac:dyDescent="0.3">
      <c r="A12" s="4" t="s">
        <v>40</v>
      </c>
      <c r="B12">
        <v>581</v>
      </c>
      <c r="C12">
        <v>319</v>
      </c>
      <c r="D12">
        <v>900</v>
      </c>
    </row>
    <row r="13" spans="1:4" x14ac:dyDescent="0.3">
      <c r="A13" s="4" t="s">
        <v>18</v>
      </c>
      <c r="B13">
        <v>578</v>
      </c>
      <c r="C13">
        <v>411</v>
      </c>
      <c r="D13">
        <v>989</v>
      </c>
    </row>
    <row r="14" spans="1:4" x14ac:dyDescent="0.3">
      <c r="A14" s="4" t="s">
        <v>37</v>
      </c>
      <c r="B14">
        <v>606</v>
      </c>
      <c r="C14">
        <v>318</v>
      </c>
      <c r="D14">
        <v>924</v>
      </c>
    </row>
    <row r="15" spans="1:4" x14ac:dyDescent="0.3">
      <c r="A15" s="4" t="s">
        <v>39</v>
      </c>
      <c r="B15">
        <v>632</v>
      </c>
      <c r="C15">
        <v>299</v>
      </c>
      <c r="D15">
        <v>931</v>
      </c>
    </row>
    <row r="16" spans="1:4" x14ac:dyDescent="0.3">
      <c r="A16" s="4" t="s">
        <v>31</v>
      </c>
      <c r="B16">
        <v>543</v>
      </c>
      <c r="C16">
        <v>307</v>
      </c>
      <c r="D16">
        <v>850</v>
      </c>
    </row>
    <row r="17" spans="1:4" x14ac:dyDescent="0.3">
      <c r="A17" s="4" t="s">
        <v>34</v>
      </c>
      <c r="B17">
        <v>589</v>
      </c>
      <c r="C17">
        <v>281</v>
      </c>
      <c r="D17">
        <v>870</v>
      </c>
    </row>
    <row r="18" spans="1:4" x14ac:dyDescent="0.3">
      <c r="A18" s="4" t="s">
        <v>20</v>
      </c>
      <c r="B18">
        <v>598</v>
      </c>
      <c r="C18">
        <v>291</v>
      </c>
      <c r="D18">
        <v>889</v>
      </c>
    </row>
    <row r="19" spans="1:4" x14ac:dyDescent="0.3">
      <c r="A19" s="4" t="s">
        <v>21</v>
      </c>
      <c r="B19">
        <v>608</v>
      </c>
      <c r="C19">
        <v>295</v>
      </c>
      <c r="D19">
        <v>903</v>
      </c>
    </row>
    <row r="20" spans="1:4" x14ac:dyDescent="0.3">
      <c r="A20" s="4" t="s">
        <v>14</v>
      </c>
      <c r="B20">
        <v>579</v>
      </c>
      <c r="C20">
        <v>480</v>
      </c>
      <c r="D20">
        <v>1059</v>
      </c>
    </row>
    <row r="21" spans="1:4" x14ac:dyDescent="0.3">
      <c r="A21" s="4" t="s">
        <v>10</v>
      </c>
      <c r="B21">
        <v>587</v>
      </c>
      <c r="C21">
        <v>471</v>
      </c>
      <c r="D21">
        <v>1058</v>
      </c>
    </row>
    <row r="22" spans="1:4" x14ac:dyDescent="0.3">
      <c r="A22" s="4" t="s">
        <v>27</v>
      </c>
      <c r="B22">
        <v>588</v>
      </c>
      <c r="C22">
        <v>339</v>
      </c>
      <c r="D22">
        <v>927</v>
      </c>
    </row>
    <row r="23" spans="1:4" x14ac:dyDescent="0.3">
      <c r="A23" s="4" t="s">
        <v>43</v>
      </c>
      <c r="B23">
        <v>9547</v>
      </c>
      <c r="C23">
        <v>5219</v>
      </c>
      <c r="D23">
        <v>14766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87DF1-3042-44C3-B1B3-409827B85EB2}">
  <dimension ref="A1:AH64"/>
  <sheetViews>
    <sheetView showGridLines="0" tabSelected="1" topLeftCell="B5" zoomScale="80" zoomScaleNormal="80" workbookViewId="0">
      <selection activeCell="Q18" sqref="Q18"/>
    </sheetView>
  </sheetViews>
  <sheetFormatPr defaultRowHeight="14.4" x14ac:dyDescent="0.3"/>
  <sheetData>
    <row r="1" spans="1:34" x14ac:dyDescent="0.3">
      <c r="A1" s="8" t="s">
        <v>50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7"/>
    </row>
    <row r="2" spans="1:34"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7"/>
    </row>
    <row r="3" spans="1:34"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7"/>
    </row>
    <row r="4" spans="1:34"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7"/>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spans="1:3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spans="1:3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spans="1:3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spans="1:3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spans="1:3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spans="1:3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spans="1:3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spans="1:3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spans="1:3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spans="1:3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spans="1:3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spans="1:3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spans="1:3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1:3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1:3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1:3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1:3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1:3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1:3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1:3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spans="1:3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spans="1:3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spans="1:3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1:3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spans="1:3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spans="1:3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spans="1:3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spans="1:3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1:3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1:3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spans="1:3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spans="1:3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spans="1:3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spans="1:3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spans="1:3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spans="1:3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spans="1:3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spans="1:3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spans="1:3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sheetData>
  <mergeCells count="1">
    <mergeCell ref="A1:AG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3606-A79B-4AF0-9F9B-BE29DD2CAA40}">
  <dimension ref="A1:L4385"/>
  <sheetViews>
    <sheetView topLeftCell="A2" workbookViewId="0">
      <selection activeCell="L18" sqref="L18"/>
    </sheetView>
  </sheetViews>
  <sheetFormatPr defaultRowHeight="14.4" x14ac:dyDescent="0.3"/>
  <cols>
    <col min="1" max="1" width="10.33203125" bestFit="1" customWidth="1"/>
    <col min="2" max="2" width="16" bestFit="1" customWidth="1"/>
    <col min="3" max="3" width="11.5546875" bestFit="1" customWidth="1"/>
    <col min="4" max="4" width="10.77734375" customWidth="1"/>
    <col min="6" max="6" width="9.77734375" customWidth="1"/>
    <col min="7" max="7" width="10" customWidth="1"/>
    <col min="8" max="8" width="14.6640625" customWidth="1"/>
    <col min="9" max="10" width="9.77734375" customWidth="1"/>
    <col min="12" max="12" width="14.109375" bestFit="1" customWidth="1"/>
    <col min="13" max="15" width="10.44140625" bestFit="1" customWidth="1"/>
    <col min="16" max="16" width="10.5546875" bestFit="1" customWidth="1"/>
  </cols>
  <sheetData>
    <row r="1" spans="1:12" ht="18" x14ac:dyDescent="0.35">
      <c r="A1" t="s">
        <v>0</v>
      </c>
      <c r="B1" t="s">
        <v>1</v>
      </c>
      <c r="C1" t="s">
        <v>2</v>
      </c>
      <c r="D1" t="s">
        <v>3</v>
      </c>
      <c r="E1" t="s">
        <v>4</v>
      </c>
      <c r="F1" t="s">
        <v>5</v>
      </c>
      <c r="G1" t="s">
        <v>6</v>
      </c>
      <c r="H1" t="s">
        <v>7</v>
      </c>
      <c r="I1" t="s">
        <v>8</v>
      </c>
      <c r="J1" t="s">
        <v>9</v>
      </c>
      <c r="L1" s="2"/>
    </row>
    <row r="2" spans="1:12" x14ac:dyDescent="0.3">
      <c r="A2" s="1">
        <v>43836</v>
      </c>
      <c r="B2" t="s">
        <v>10</v>
      </c>
      <c r="C2" t="s">
        <v>11</v>
      </c>
      <c r="D2">
        <v>143</v>
      </c>
      <c r="E2">
        <v>31.98</v>
      </c>
      <c r="F2">
        <v>4573.1400000000003</v>
      </c>
      <c r="G2">
        <v>0.03</v>
      </c>
      <c r="H2">
        <v>2</v>
      </c>
      <c r="I2" t="s">
        <v>12</v>
      </c>
      <c r="J2" t="s">
        <v>13</v>
      </c>
    </row>
    <row r="3" spans="1:12" x14ac:dyDescent="0.3">
      <c r="A3" s="1">
        <v>43836</v>
      </c>
      <c r="B3" t="s">
        <v>14</v>
      </c>
      <c r="C3" t="s">
        <v>15</v>
      </c>
      <c r="D3">
        <v>139</v>
      </c>
      <c r="E3">
        <v>42.51</v>
      </c>
      <c r="F3">
        <v>5908.89</v>
      </c>
      <c r="G3">
        <v>0.04</v>
      </c>
      <c r="H3">
        <v>0</v>
      </c>
      <c r="I3" t="s">
        <v>16</v>
      </c>
      <c r="J3" t="s">
        <v>17</v>
      </c>
    </row>
    <row r="4" spans="1:12" x14ac:dyDescent="0.3">
      <c r="A4" s="1">
        <v>43836</v>
      </c>
      <c r="B4" t="s">
        <v>18</v>
      </c>
      <c r="C4" t="s">
        <v>19</v>
      </c>
      <c r="D4">
        <v>161</v>
      </c>
      <c r="E4">
        <v>12.91</v>
      </c>
      <c r="F4">
        <v>2078.5100000000002</v>
      </c>
      <c r="G4">
        <v>0.25</v>
      </c>
      <c r="H4">
        <v>0</v>
      </c>
      <c r="I4" t="s">
        <v>12</v>
      </c>
      <c r="J4" t="s">
        <v>17</v>
      </c>
    </row>
    <row r="5" spans="1:12" x14ac:dyDescent="0.3">
      <c r="A5" s="1">
        <v>43836</v>
      </c>
      <c r="B5" t="s">
        <v>20</v>
      </c>
      <c r="C5" t="s">
        <v>15</v>
      </c>
      <c r="D5">
        <v>140</v>
      </c>
      <c r="E5">
        <v>16.07</v>
      </c>
      <c r="F5">
        <v>2249.8000000000002</v>
      </c>
      <c r="G5">
        <v>0.08</v>
      </c>
      <c r="H5">
        <v>0</v>
      </c>
      <c r="I5" t="s">
        <v>12</v>
      </c>
      <c r="J5" t="s">
        <v>13</v>
      </c>
    </row>
    <row r="6" spans="1:12" x14ac:dyDescent="0.3">
      <c r="A6" s="1">
        <v>43836</v>
      </c>
      <c r="B6" t="s">
        <v>21</v>
      </c>
      <c r="C6" t="s">
        <v>22</v>
      </c>
      <c r="D6">
        <v>157</v>
      </c>
      <c r="E6">
        <v>35.47</v>
      </c>
      <c r="F6">
        <v>5568.79</v>
      </c>
      <c r="G6">
        <v>0.25</v>
      </c>
      <c r="H6">
        <v>3</v>
      </c>
      <c r="I6" t="s">
        <v>12</v>
      </c>
      <c r="J6" t="s">
        <v>23</v>
      </c>
    </row>
    <row r="7" spans="1:12" x14ac:dyDescent="0.3">
      <c r="A7" s="1">
        <v>43836</v>
      </c>
      <c r="B7" t="s">
        <v>24</v>
      </c>
      <c r="C7" t="s">
        <v>25</v>
      </c>
      <c r="D7">
        <v>154</v>
      </c>
      <c r="E7">
        <v>41.19</v>
      </c>
      <c r="F7">
        <v>6343.26</v>
      </c>
      <c r="G7">
        <v>0.13</v>
      </c>
      <c r="H7">
        <v>1</v>
      </c>
      <c r="I7" t="s">
        <v>16</v>
      </c>
      <c r="J7" t="s">
        <v>13</v>
      </c>
    </row>
    <row r="8" spans="1:12" x14ac:dyDescent="0.3">
      <c r="A8" s="1">
        <v>43836</v>
      </c>
      <c r="B8" t="s">
        <v>26</v>
      </c>
      <c r="C8" t="s">
        <v>22</v>
      </c>
      <c r="D8">
        <v>134</v>
      </c>
      <c r="E8">
        <v>32.49</v>
      </c>
      <c r="F8">
        <v>4353.66</v>
      </c>
      <c r="G8">
        <v>0.05</v>
      </c>
      <c r="H8">
        <v>1</v>
      </c>
      <c r="I8" t="s">
        <v>16</v>
      </c>
      <c r="J8" t="s">
        <v>13</v>
      </c>
    </row>
    <row r="9" spans="1:12" x14ac:dyDescent="0.3">
      <c r="A9" s="1">
        <v>43836</v>
      </c>
      <c r="B9" t="s">
        <v>27</v>
      </c>
      <c r="C9" t="s">
        <v>28</v>
      </c>
      <c r="D9">
        <v>147</v>
      </c>
      <c r="E9">
        <v>46.68</v>
      </c>
      <c r="F9">
        <v>6861.96</v>
      </c>
      <c r="G9">
        <v>0.19</v>
      </c>
      <c r="H9">
        <v>0</v>
      </c>
      <c r="I9" t="s">
        <v>12</v>
      </c>
      <c r="J9" t="s">
        <v>17</v>
      </c>
    </row>
    <row r="10" spans="1:12" x14ac:dyDescent="0.3">
      <c r="A10" s="1">
        <v>43836</v>
      </c>
      <c r="B10" t="s">
        <v>29</v>
      </c>
      <c r="C10" t="s">
        <v>11</v>
      </c>
      <c r="D10">
        <v>147</v>
      </c>
      <c r="E10">
        <v>10.96</v>
      </c>
      <c r="F10">
        <v>1611.12</v>
      </c>
      <c r="G10">
        <v>0.06</v>
      </c>
      <c r="H10">
        <v>2</v>
      </c>
      <c r="I10" t="s">
        <v>30</v>
      </c>
      <c r="J10" t="s">
        <v>17</v>
      </c>
    </row>
    <row r="11" spans="1:12" x14ac:dyDescent="0.3">
      <c r="A11" s="1">
        <v>43836</v>
      </c>
      <c r="B11" t="s">
        <v>31</v>
      </c>
      <c r="C11" t="s">
        <v>28</v>
      </c>
      <c r="D11">
        <v>134</v>
      </c>
      <c r="E11">
        <v>20.76</v>
      </c>
      <c r="F11">
        <v>2781.84</v>
      </c>
      <c r="G11">
        <v>0</v>
      </c>
      <c r="H11">
        <v>0</v>
      </c>
      <c r="I11" t="s">
        <v>12</v>
      </c>
      <c r="J11" t="s">
        <v>17</v>
      </c>
    </row>
    <row r="12" spans="1:12" x14ac:dyDescent="0.3">
      <c r="A12" s="1">
        <v>43836</v>
      </c>
      <c r="B12" t="s">
        <v>32</v>
      </c>
      <c r="C12" t="s">
        <v>33</v>
      </c>
      <c r="D12">
        <v>181</v>
      </c>
      <c r="E12">
        <v>15.49</v>
      </c>
      <c r="F12">
        <v>2803.69</v>
      </c>
      <c r="G12">
        <v>0.14000000000000001</v>
      </c>
      <c r="H12">
        <v>1</v>
      </c>
      <c r="I12" t="s">
        <v>30</v>
      </c>
      <c r="J12" t="s">
        <v>17</v>
      </c>
    </row>
    <row r="13" spans="1:12" x14ac:dyDescent="0.3">
      <c r="A13" s="1">
        <v>43836</v>
      </c>
      <c r="B13" t="s">
        <v>34</v>
      </c>
      <c r="C13" t="s">
        <v>35</v>
      </c>
      <c r="D13">
        <v>164</v>
      </c>
      <c r="E13">
        <v>34.409999999999997</v>
      </c>
      <c r="F13">
        <v>5643.24</v>
      </c>
      <c r="G13">
        <v>0.04</v>
      </c>
      <c r="H13">
        <v>1</v>
      </c>
      <c r="I13" t="s">
        <v>30</v>
      </c>
      <c r="J13" t="s">
        <v>13</v>
      </c>
    </row>
    <row r="14" spans="1:12" x14ac:dyDescent="0.3">
      <c r="A14" s="1">
        <v>43836</v>
      </c>
      <c r="B14" t="s">
        <v>36</v>
      </c>
      <c r="C14" t="s">
        <v>15</v>
      </c>
      <c r="D14">
        <v>159</v>
      </c>
      <c r="E14">
        <v>28.79</v>
      </c>
      <c r="F14">
        <v>4577.6099999999997</v>
      </c>
      <c r="G14">
        <v>0.1</v>
      </c>
      <c r="H14">
        <v>1</v>
      </c>
      <c r="I14" t="s">
        <v>16</v>
      </c>
      <c r="J14" t="s">
        <v>23</v>
      </c>
    </row>
    <row r="15" spans="1:12" x14ac:dyDescent="0.3">
      <c r="A15" s="1">
        <v>43836</v>
      </c>
      <c r="B15" t="s">
        <v>37</v>
      </c>
      <c r="C15" t="s">
        <v>38</v>
      </c>
      <c r="D15">
        <v>143</v>
      </c>
      <c r="E15">
        <v>31.88</v>
      </c>
      <c r="F15">
        <v>4558.84</v>
      </c>
      <c r="G15">
        <v>0.06</v>
      </c>
      <c r="H15">
        <v>3</v>
      </c>
      <c r="I15" t="s">
        <v>16</v>
      </c>
      <c r="J15" t="s">
        <v>13</v>
      </c>
    </row>
    <row r="16" spans="1:12" x14ac:dyDescent="0.3">
      <c r="A16" s="1">
        <v>43836</v>
      </c>
      <c r="B16" t="s">
        <v>39</v>
      </c>
      <c r="C16" t="s">
        <v>28</v>
      </c>
      <c r="D16">
        <v>149</v>
      </c>
      <c r="E16">
        <v>42.97</v>
      </c>
      <c r="F16">
        <v>6402.53</v>
      </c>
      <c r="G16">
        <v>0.22</v>
      </c>
      <c r="H16">
        <v>2</v>
      </c>
      <c r="I16" t="s">
        <v>12</v>
      </c>
      <c r="J16" t="s">
        <v>23</v>
      </c>
    </row>
    <row r="17" spans="1:10" x14ac:dyDescent="0.3">
      <c r="A17" s="1">
        <v>43836</v>
      </c>
      <c r="B17" t="s">
        <v>40</v>
      </c>
      <c r="C17" t="s">
        <v>41</v>
      </c>
      <c r="D17">
        <v>154</v>
      </c>
      <c r="E17">
        <v>35.92</v>
      </c>
      <c r="F17">
        <v>5531.68</v>
      </c>
      <c r="G17">
        <v>0.04</v>
      </c>
      <c r="H17">
        <v>2</v>
      </c>
      <c r="I17" t="s">
        <v>30</v>
      </c>
      <c r="J17" t="s">
        <v>17</v>
      </c>
    </row>
    <row r="18" spans="1:10" x14ac:dyDescent="0.3">
      <c r="A18" s="1">
        <v>43843</v>
      </c>
      <c r="B18" t="s">
        <v>10</v>
      </c>
      <c r="C18" t="s">
        <v>11</v>
      </c>
      <c r="D18">
        <v>150</v>
      </c>
      <c r="E18">
        <v>12.08</v>
      </c>
      <c r="F18">
        <v>1812</v>
      </c>
      <c r="G18">
        <v>0.02</v>
      </c>
      <c r="H18">
        <v>2</v>
      </c>
      <c r="I18" t="s">
        <v>16</v>
      </c>
      <c r="J18" t="s">
        <v>17</v>
      </c>
    </row>
    <row r="19" spans="1:10" x14ac:dyDescent="0.3">
      <c r="A19" s="1">
        <v>43843</v>
      </c>
      <c r="B19" t="s">
        <v>14</v>
      </c>
      <c r="C19" t="s">
        <v>15</v>
      </c>
      <c r="D19">
        <v>128</v>
      </c>
      <c r="E19">
        <v>10.61</v>
      </c>
      <c r="F19">
        <v>1358.08</v>
      </c>
      <c r="G19">
        <v>0.24</v>
      </c>
      <c r="H19">
        <v>2</v>
      </c>
      <c r="I19" t="s">
        <v>30</v>
      </c>
      <c r="J19" t="s">
        <v>17</v>
      </c>
    </row>
    <row r="20" spans="1:10" x14ac:dyDescent="0.3">
      <c r="A20" s="1">
        <v>43843</v>
      </c>
      <c r="B20" t="s">
        <v>18</v>
      </c>
      <c r="C20" t="s">
        <v>19</v>
      </c>
      <c r="D20">
        <v>145</v>
      </c>
      <c r="E20">
        <v>27.49</v>
      </c>
      <c r="F20">
        <v>3986.05</v>
      </c>
      <c r="G20">
        <v>0.19</v>
      </c>
      <c r="H20">
        <v>2</v>
      </c>
      <c r="I20" t="s">
        <v>30</v>
      </c>
      <c r="J20" t="s">
        <v>13</v>
      </c>
    </row>
    <row r="21" spans="1:10" x14ac:dyDescent="0.3">
      <c r="A21" s="1">
        <v>43843</v>
      </c>
      <c r="B21" t="s">
        <v>20</v>
      </c>
      <c r="C21" t="s">
        <v>15</v>
      </c>
      <c r="D21">
        <v>137</v>
      </c>
      <c r="E21">
        <v>14.92</v>
      </c>
      <c r="F21">
        <v>2044.04</v>
      </c>
      <c r="G21">
        <v>0.17</v>
      </c>
      <c r="H21">
        <v>2</v>
      </c>
      <c r="I21" t="s">
        <v>30</v>
      </c>
      <c r="J21" t="s">
        <v>17</v>
      </c>
    </row>
    <row r="22" spans="1:10" x14ac:dyDescent="0.3">
      <c r="A22" s="1">
        <v>43843</v>
      </c>
      <c r="B22" t="s">
        <v>21</v>
      </c>
      <c r="C22" t="s">
        <v>22</v>
      </c>
      <c r="D22">
        <v>141</v>
      </c>
      <c r="E22">
        <v>14.11</v>
      </c>
      <c r="F22">
        <v>1989.51</v>
      </c>
      <c r="G22">
        <v>0.24</v>
      </c>
      <c r="H22">
        <v>1</v>
      </c>
      <c r="I22" t="s">
        <v>12</v>
      </c>
      <c r="J22" t="s">
        <v>23</v>
      </c>
    </row>
    <row r="23" spans="1:10" x14ac:dyDescent="0.3">
      <c r="A23" s="1">
        <v>43843</v>
      </c>
      <c r="B23" t="s">
        <v>24</v>
      </c>
      <c r="C23" t="s">
        <v>25</v>
      </c>
      <c r="D23">
        <v>160</v>
      </c>
      <c r="E23">
        <v>29.1</v>
      </c>
      <c r="F23">
        <v>4656</v>
      </c>
      <c r="G23">
        <v>0.05</v>
      </c>
      <c r="H23">
        <v>0</v>
      </c>
      <c r="I23" t="s">
        <v>12</v>
      </c>
      <c r="J23" t="s">
        <v>17</v>
      </c>
    </row>
    <row r="24" spans="1:10" x14ac:dyDescent="0.3">
      <c r="A24" s="1">
        <v>43843</v>
      </c>
      <c r="B24" t="s">
        <v>26</v>
      </c>
      <c r="C24" t="s">
        <v>22</v>
      </c>
      <c r="D24">
        <v>154</v>
      </c>
      <c r="E24">
        <v>42.2</v>
      </c>
      <c r="F24">
        <v>6498.8</v>
      </c>
      <c r="G24">
        <v>0.13</v>
      </c>
      <c r="H24">
        <v>0</v>
      </c>
      <c r="I24" t="s">
        <v>16</v>
      </c>
      <c r="J24" t="s">
        <v>13</v>
      </c>
    </row>
    <row r="25" spans="1:10" x14ac:dyDescent="0.3">
      <c r="A25" s="1">
        <v>43843</v>
      </c>
      <c r="B25" t="s">
        <v>27</v>
      </c>
      <c r="C25" t="s">
        <v>28</v>
      </c>
      <c r="D25">
        <v>154</v>
      </c>
      <c r="E25">
        <v>47.4</v>
      </c>
      <c r="F25">
        <v>7299.6</v>
      </c>
      <c r="G25">
        <v>0.2</v>
      </c>
      <c r="H25">
        <v>2</v>
      </c>
      <c r="I25" t="s">
        <v>30</v>
      </c>
      <c r="J25" t="s">
        <v>17</v>
      </c>
    </row>
    <row r="26" spans="1:10" x14ac:dyDescent="0.3">
      <c r="A26" s="1">
        <v>43843</v>
      </c>
      <c r="B26" t="s">
        <v>29</v>
      </c>
      <c r="C26" t="s">
        <v>11</v>
      </c>
      <c r="D26">
        <v>134</v>
      </c>
      <c r="E26">
        <v>56.4</v>
      </c>
      <c r="F26">
        <v>7557.6</v>
      </c>
      <c r="G26">
        <v>0.06</v>
      </c>
      <c r="H26">
        <v>1</v>
      </c>
      <c r="I26" t="s">
        <v>12</v>
      </c>
      <c r="J26" t="s">
        <v>23</v>
      </c>
    </row>
    <row r="27" spans="1:10" x14ac:dyDescent="0.3">
      <c r="A27" s="1">
        <v>43843</v>
      </c>
      <c r="B27" t="s">
        <v>31</v>
      </c>
      <c r="C27" t="s">
        <v>28</v>
      </c>
      <c r="D27">
        <v>148</v>
      </c>
      <c r="E27">
        <v>40.65</v>
      </c>
      <c r="F27">
        <v>6016.2</v>
      </c>
      <c r="G27">
        <v>0.24</v>
      </c>
      <c r="H27">
        <v>1</v>
      </c>
      <c r="I27" t="s">
        <v>16</v>
      </c>
      <c r="J27" t="s">
        <v>17</v>
      </c>
    </row>
    <row r="28" spans="1:10" x14ac:dyDescent="0.3">
      <c r="A28" s="1">
        <v>43843</v>
      </c>
      <c r="B28" t="s">
        <v>32</v>
      </c>
      <c r="C28" t="s">
        <v>33</v>
      </c>
      <c r="D28">
        <v>133</v>
      </c>
      <c r="E28">
        <v>54.35</v>
      </c>
      <c r="F28">
        <v>7228.55</v>
      </c>
      <c r="G28">
        <v>0.16</v>
      </c>
      <c r="H28">
        <v>1</v>
      </c>
      <c r="I28" t="s">
        <v>16</v>
      </c>
      <c r="J28" t="s">
        <v>13</v>
      </c>
    </row>
    <row r="29" spans="1:10" x14ac:dyDescent="0.3">
      <c r="A29" s="1">
        <v>43843</v>
      </c>
      <c r="B29" t="s">
        <v>34</v>
      </c>
      <c r="C29" t="s">
        <v>35</v>
      </c>
      <c r="D29">
        <v>141</v>
      </c>
      <c r="E29">
        <v>33.03</v>
      </c>
      <c r="F29">
        <v>4657.2299999999996</v>
      </c>
      <c r="G29">
        <v>0.21</v>
      </c>
      <c r="H29">
        <v>2</v>
      </c>
      <c r="I29" t="s">
        <v>30</v>
      </c>
      <c r="J29" t="s">
        <v>17</v>
      </c>
    </row>
    <row r="30" spans="1:10" x14ac:dyDescent="0.3">
      <c r="A30" s="1">
        <v>43843</v>
      </c>
      <c r="B30" t="s">
        <v>36</v>
      </c>
      <c r="C30" t="s">
        <v>15</v>
      </c>
      <c r="D30">
        <v>161</v>
      </c>
      <c r="E30">
        <v>18.87</v>
      </c>
      <c r="F30">
        <v>3038.07</v>
      </c>
      <c r="G30">
        <v>0.14000000000000001</v>
      </c>
      <c r="H30">
        <v>5</v>
      </c>
      <c r="I30" t="s">
        <v>30</v>
      </c>
      <c r="J30" t="s">
        <v>23</v>
      </c>
    </row>
    <row r="31" spans="1:10" x14ac:dyDescent="0.3">
      <c r="A31" s="1">
        <v>43843</v>
      </c>
      <c r="B31" t="s">
        <v>37</v>
      </c>
      <c r="C31" t="s">
        <v>38</v>
      </c>
      <c r="D31">
        <v>174</v>
      </c>
      <c r="E31">
        <v>18.239999999999998</v>
      </c>
      <c r="F31">
        <v>3173.76</v>
      </c>
      <c r="G31">
        <v>0.03</v>
      </c>
      <c r="H31">
        <v>2</v>
      </c>
      <c r="I31" t="s">
        <v>30</v>
      </c>
      <c r="J31" t="s">
        <v>13</v>
      </c>
    </row>
    <row r="32" spans="1:10" x14ac:dyDescent="0.3">
      <c r="A32" s="1">
        <v>43843</v>
      </c>
      <c r="B32" t="s">
        <v>39</v>
      </c>
      <c r="C32" t="s">
        <v>28</v>
      </c>
      <c r="D32">
        <v>163</v>
      </c>
      <c r="E32">
        <v>35.29</v>
      </c>
      <c r="F32">
        <v>5752.27</v>
      </c>
      <c r="G32">
        <v>0.21</v>
      </c>
      <c r="H32">
        <v>2</v>
      </c>
      <c r="I32" t="s">
        <v>30</v>
      </c>
      <c r="J32" t="s">
        <v>17</v>
      </c>
    </row>
    <row r="33" spans="1:10" x14ac:dyDescent="0.3">
      <c r="A33" s="1">
        <v>43843</v>
      </c>
      <c r="B33" t="s">
        <v>40</v>
      </c>
      <c r="C33" t="s">
        <v>41</v>
      </c>
      <c r="D33">
        <v>151</v>
      </c>
      <c r="E33">
        <v>35.42</v>
      </c>
      <c r="F33">
        <v>5348.42</v>
      </c>
      <c r="G33">
        <v>7.0000000000000007E-2</v>
      </c>
      <c r="H33">
        <v>2</v>
      </c>
      <c r="I33" t="s">
        <v>30</v>
      </c>
      <c r="J33" t="s">
        <v>17</v>
      </c>
    </row>
    <row r="34" spans="1:10" x14ac:dyDescent="0.3">
      <c r="A34" s="1">
        <v>43850</v>
      </c>
      <c r="B34" t="s">
        <v>10</v>
      </c>
      <c r="C34" t="s">
        <v>11</v>
      </c>
      <c r="D34">
        <v>157</v>
      </c>
      <c r="E34">
        <v>41.81</v>
      </c>
      <c r="F34">
        <v>6564.17</v>
      </c>
      <c r="G34">
        <v>0.19</v>
      </c>
      <c r="H34">
        <v>0</v>
      </c>
      <c r="I34" t="s">
        <v>30</v>
      </c>
      <c r="J34" t="s">
        <v>13</v>
      </c>
    </row>
    <row r="35" spans="1:10" x14ac:dyDescent="0.3">
      <c r="A35" s="1">
        <v>43850</v>
      </c>
      <c r="B35" t="s">
        <v>14</v>
      </c>
      <c r="C35" t="s">
        <v>15</v>
      </c>
      <c r="D35">
        <v>149</v>
      </c>
      <c r="E35">
        <v>22.33</v>
      </c>
      <c r="F35">
        <v>3327.17</v>
      </c>
      <c r="G35">
        <v>0.18</v>
      </c>
      <c r="H35">
        <v>5</v>
      </c>
      <c r="I35" t="s">
        <v>16</v>
      </c>
      <c r="J35" t="s">
        <v>13</v>
      </c>
    </row>
    <row r="36" spans="1:10" x14ac:dyDescent="0.3">
      <c r="A36" s="1">
        <v>43850</v>
      </c>
      <c r="B36" t="s">
        <v>18</v>
      </c>
      <c r="C36" t="s">
        <v>19</v>
      </c>
      <c r="D36">
        <v>131</v>
      </c>
      <c r="E36">
        <v>50</v>
      </c>
      <c r="F36">
        <v>6550</v>
      </c>
      <c r="G36">
        <v>0.05</v>
      </c>
      <c r="H36">
        <v>1</v>
      </c>
      <c r="I36" t="s">
        <v>30</v>
      </c>
      <c r="J36" t="s">
        <v>13</v>
      </c>
    </row>
    <row r="37" spans="1:10" x14ac:dyDescent="0.3">
      <c r="A37" s="1">
        <v>43850</v>
      </c>
      <c r="B37" t="s">
        <v>20</v>
      </c>
      <c r="C37" t="s">
        <v>15</v>
      </c>
      <c r="D37">
        <v>159</v>
      </c>
      <c r="E37">
        <v>19.399999999999999</v>
      </c>
      <c r="F37">
        <v>3084.6</v>
      </c>
      <c r="G37">
        <v>0.09</v>
      </c>
      <c r="H37">
        <v>2</v>
      </c>
      <c r="I37" t="s">
        <v>30</v>
      </c>
      <c r="J37" t="s">
        <v>13</v>
      </c>
    </row>
    <row r="38" spans="1:10" x14ac:dyDescent="0.3">
      <c r="A38" s="1">
        <v>43850</v>
      </c>
      <c r="B38" t="s">
        <v>21</v>
      </c>
      <c r="C38" t="s">
        <v>22</v>
      </c>
      <c r="D38">
        <v>152</v>
      </c>
      <c r="E38">
        <v>48.05</v>
      </c>
      <c r="F38">
        <v>7303.6</v>
      </c>
      <c r="G38">
        <v>0.01</v>
      </c>
      <c r="H38">
        <v>2</v>
      </c>
      <c r="I38" t="s">
        <v>30</v>
      </c>
      <c r="J38" t="s">
        <v>23</v>
      </c>
    </row>
    <row r="39" spans="1:10" x14ac:dyDescent="0.3">
      <c r="A39" s="1">
        <v>43850</v>
      </c>
      <c r="B39" t="s">
        <v>24</v>
      </c>
      <c r="C39" t="s">
        <v>25</v>
      </c>
      <c r="D39">
        <v>145</v>
      </c>
      <c r="E39">
        <v>17.440000000000001</v>
      </c>
      <c r="F39">
        <v>2528.8000000000002</v>
      </c>
      <c r="G39">
        <v>0.08</v>
      </c>
      <c r="H39">
        <v>3</v>
      </c>
      <c r="I39" t="s">
        <v>16</v>
      </c>
      <c r="J39" t="s">
        <v>17</v>
      </c>
    </row>
    <row r="40" spans="1:10" x14ac:dyDescent="0.3">
      <c r="A40" s="1">
        <v>43850</v>
      </c>
      <c r="B40" t="s">
        <v>26</v>
      </c>
      <c r="C40" t="s">
        <v>22</v>
      </c>
      <c r="D40">
        <v>148</v>
      </c>
      <c r="E40">
        <v>54.31</v>
      </c>
      <c r="F40">
        <v>8037.88</v>
      </c>
      <c r="G40">
        <v>0.15</v>
      </c>
      <c r="H40">
        <v>1</v>
      </c>
      <c r="I40" t="s">
        <v>16</v>
      </c>
      <c r="J40" t="s">
        <v>23</v>
      </c>
    </row>
    <row r="41" spans="1:10" x14ac:dyDescent="0.3">
      <c r="A41" s="1">
        <v>43850</v>
      </c>
      <c r="B41" t="s">
        <v>27</v>
      </c>
      <c r="C41" t="s">
        <v>28</v>
      </c>
      <c r="D41">
        <v>147</v>
      </c>
      <c r="E41">
        <v>10.16</v>
      </c>
      <c r="F41">
        <v>1493.52</v>
      </c>
      <c r="G41">
        <v>0.15</v>
      </c>
      <c r="H41">
        <v>1</v>
      </c>
      <c r="I41" t="s">
        <v>30</v>
      </c>
      <c r="J41" t="s">
        <v>23</v>
      </c>
    </row>
    <row r="42" spans="1:10" x14ac:dyDescent="0.3">
      <c r="A42" s="1">
        <v>43850</v>
      </c>
      <c r="B42" t="s">
        <v>29</v>
      </c>
      <c r="C42" t="s">
        <v>11</v>
      </c>
      <c r="D42">
        <v>161</v>
      </c>
      <c r="E42">
        <v>39.409999999999997</v>
      </c>
      <c r="F42">
        <v>6345.01</v>
      </c>
      <c r="G42">
        <v>0.12</v>
      </c>
      <c r="H42">
        <v>2</v>
      </c>
      <c r="I42" t="s">
        <v>16</v>
      </c>
      <c r="J42" t="s">
        <v>13</v>
      </c>
    </row>
    <row r="43" spans="1:10" x14ac:dyDescent="0.3">
      <c r="A43" s="1">
        <v>43850</v>
      </c>
      <c r="B43" t="s">
        <v>31</v>
      </c>
      <c r="C43" t="s">
        <v>28</v>
      </c>
      <c r="D43">
        <v>126</v>
      </c>
      <c r="E43">
        <v>38.07</v>
      </c>
      <c r="F43">
        <v>4796.82</v>
      </c>
      <c r="G43">
        <v>0.14000000000000001</v>
      </c>
      <c r="H43">
        <v>1</v>
      </c>
      <c r="I43" t="s">
        <v>12</v>
      </c>
      <c r="J43" t="s">
        <v>17</v>
      </c>
    </row>
    <row r="44" spans="1:10" x14ac:dyDescent="0.3">
      <c r="A44" s="1">
        <v>43850</v>
      </c>
      <c r="B44" t="s">
        <v>32</v>
      </c>
      <c r="C44" t="s">
        <v>33</v>
      </c>
      <c r="D44">
        <v>156</v>
      </c>
      <c r="E44">
        <v>23.49</v>
      </c>
      <c r="F44">
        <v>3664.44</v>
      </c>
      <c r="G44">
        <v>0.21</v>
      </c>
      <c r="H44">
        <v>1</v>
      </c>
      <c r="I44" t="s">
        <v>12</v>
      </c>
      <c r="J44" t="s">
        <v>23</v>
      </c>
    </row>
    <row r="45" spans="1:10" x14ac:dyDescent="0.3">
      <c r="A45" s="1">
        <v>43850</v>
      </c>
      <c r="B45" t="s">
        <v>34</v>
      </c>
      <c r="C45" t="s">
        <v>35</v>
      </c>
      <c r="D45">
        <v>128</v>
      </c>
      <c r="E45">
        <v>26.71</v>
      </c>
      <c r="F45">
        <v>3418.88</v>
      </c>
      <c r="G45">
        <v>0.2</v>
      </c>
      <c r="H45">
        <v>2</v>
      </c>
      <c r="I45" t="s">
        <v>12</v>
      </c>
      <c r="J45" t="s">
        <v>23</v>
      </c>
    </row>
    <row r="46" spans="1:10" x14ac:dyDescent="0.3">
      <c r="A46" s="1">
        <v>43850</v>
      </c>
      <c r="B46" t="s">
        <v>36</v>
      </c>
      <c r="C46" t="s">
        <v>15</v>
      </c>
      <c r="D46">
        <v>161</v>
      </c>
      <c r="E46">
        <v>32.01</v>
      </c>
      <c r="F46">
        <v>5153.6099999999997</v>
      </c>
      <c r="G46">
        <v>0.04</v>
      </c>
      <c r="H46">
        <v>1</v>
      </c>
      <c r="I46" t="s">
        <v>12</v>
      </c>
      <c r="J46" t="s">
        <v>17</v>
      </c>
    </row>
    <row r="47" spans="1:10" x14ac:dyDescent="0.3">
      <c r="A47" s="1">
        <v>43850</v>
      </c>
      <c r="B47" t="s">
        <v>37</v>
      </c>
      <c r="C47" t="s">
        <v>38</v>
      </c>
      <c r="D47">
        <v>148</v>
      </c>
      <c r="E47">
        <v>21.03</v>
      </c>
      <c r="F47">
        <v>3112.44</v>
      </c>
      <c r="G47">
        <v>0.15</v>
      </c>
      <c r="H47">
        <v>2</v>
      </c>
      <c r="I47" t="s">
        <v>16</v>
      </c>
      <c r="J47" t="s">
        <v>13</v>
      </c>
    </row>
    <row r="48" spans="1:10" x14ac:dyDescent="0.3">
      <c r="A48" s="1">
        <v>43850</v>
      </c>
      <c r="B48" t="s">
        <v>39</v>
      </c>
      <c r="C48" t="s">
        <v>28</v>
      </c>
      <c r="D48">
        <v>155</v>
      </c>
      <c r="E48">
        <v>41.81</v>
      </c>
      <c r="F48">
        <v>6480.55</v>
      </c>
      <c r="G48">
        <v>0.2</v>
      </c>
      <c r="H48">
        <v>0</v>
      </c>
      <c r="I48" t="s">
        <v>16</v>
      </c>
      <c r="J48" t="s">
        <v>23</v>
      </c>
    </row>
    <row r="49" spans="1:10" x14ac:dyDescent="0.3">
      <c r="A49" s="1">
        <v>43850</v>
      </c>
      <c r="B49" t="s">
        <v>40</v>
      </c>
      <c r="C49" t="s">
        <v>41</v>
      </c>
      <c r="D49">
        <v>147</v>
      </c>
      <c r="E49">
        <v>29.19</v>
      </c>
      <c r="F49">
        <v>4290.93</v>
      </c>
      <c r="G49">
        <v>0.14000000000000001</v>
      </c>
      <c r="H49">
        <v>2</v>
      </c>
      <c r="I49" t="s">
        <v>30</v>
      </c>
      <c r="J49" t="s">
        <v>17</v>
      </c>
    </row>
    <row r="50" spans="1:10" x14ac:dyDescent="0.3">
      <c r="A50" s="1">
        <v>43857</v>
      </c>
      <c r="B50" t="s">
        <v>10</v>
      </c>
      <c r="C50" t="s">
        <v>11</v>
      </c>
      <c r="D50">
        <v>137</v>
      </c>
      <c r="E50">
        <v>26.73</v>
      </c>
      <c r="F50">
        <v>3662.01</v>
      </c>
      <c r="G50">
        <v>0.01</v>
      </c>
      <c r="H50">
        <v>0</v>
      </c>
      <c r="I50" t="s">
        <v>16</v>
      </c>
      <c r="J50" t="s">
        <v>17</v>
      </c>
    </row>
    <row r="51" spans="1:10" x14ac:dyDescent="0.3">
      <c r="A51" s="1">
        <v>43857</v>
      </c>
      <c r="B51" t="s">
        <v>14</v>
      </c>
      <c r="C51" t="s">
        <v>15</v>
      </c>
      <c r="D51">
        <v>163</v>
      </c>
      <c r="E51">
        <v>35.9</v>
      </c>
      <c r="F51">
        <v>5851.7</v>
      </c>
      <c r="G51">
        <v>7.0000000000000007E-2</v>
      </c>
      <c r="H51">
        <v>4</v>
      </c>
      <c r="I51" t="s">
        <v>16</v>
      </c>
      <c r="J51" t="s">
        <v>23</v>
      </c>
    </row>
    <row r="52" spans="1:10" x14ac:dyDescent="0.3">
      <c r="A52" s="1">
        <v>43857</v>
      </c>
      <c r="B52" t="s">
        <v>18</v>
      </c>
      <c r="C52" t="s">
        <v>19</v>
      </c>
      <c r="D52">
        <v>141</v>
      </c>
      <c r="E52">
        <v>53.64</v>
      </c>
      <c r="F52">
        <v>7563.24</v>
      </c>
      <c r="G52">
        <v>0.21</v>
      </c>
      <c r="H52">
        <v>0</v>
      </c>
      <c r="I52" t="s">
        <v>12</v>
      </c>
      <c r="J52" t="s">
        <v>23</v>
      </c>
    </row>
    <row r="53" spans="1:10" x14ac:dyDescent="0.3">
      <c r="A53" s="1">
        <v>43857</v>
      </c>
      <c r="B53" t="s">
        <v>20</v>
      </c>
      <c r="C53" t="s">
        <v>15</v>
      </c>
      <c r="D53">
        <v>162</v>
      </c>
      <c r="E53">
        <v>34.15</v>
      </c>
      <c r="F53">
        <v>5532.3</v>
      </c>
      <c r="G53">
        <v>0.03</v>
      </c>
      <c r="H53">
        <v>0</v>
      </c>
      <c r="I53" t="s">
        <v>16</v>
      </c>
      <c r="J53" t="s">
        <v>23</v>
      </c>
    </row>
    <row r="54" spans="1:10" x14ac:dyDescent="0.3">
      <c r="A54" s="1">
        <v>43857</v>
      </c>
      <c r="B54" t="s">
        <v>21</v>
      </c>
      <c r="C54" t="s">
        <v>22</v>
      </c>
      <c r="D54">
        <v>158</v>
      </c>
      <c r="E54">
        <v>31.84</v>
      </c>
      <c r="F54">
        <v>5030.72</v>
      </c>
      <c r="G54">
        <v>0.18</v>
      </c>
      <c r="H54">
        <v>2</v>
      </c>
      <c r="I54" t="s">
        <v>30</v>
      </c>
      <c r="J54" t="s">
        <v>23</v>
      </c>
    </row>
    <row r="55" spans="1:10" x14ac:dyDescent="0.3">
      <c r="A55" s="1">
        <v>43857</v>
      </c>
      <c r="B55" t="s">
        <v>24</v>
      </c>
      <c r="C55" t="s">
        <v>25</v>
      </c>
      <c r="D55">
        <v>136</v>
      </c>
      <c r="E55">
        <v>16.77</v>
      </c>
      <c r="F55">
        <v>2280.7199999999998</v>
      </c>
      <c r="G55">
        <v>0.19</v>
      </c>
      <c r="H55">
        <v>2</v>
      </c>
      <c r="I55" t="s">
        <v>30</v>
      </c>
      <c r="J55" t="s">
        <v>23</v>
      </c>
    </row>
    <row r="56" spans="1:10" x14ac:dyDescent="0.3">
      <c r="A56" s="1">
        <v>43857</v>
      </c>
      <c r="B56" t="s">
        <v>26</v>
      </c>
      <c r="C56" t="s">
        <v>22</v>
      </c>
      <c r="D56">
        <v>180</v>
      </c>
      <c r="E56">
        <v>12.85</v>
      </c>
      <c r="F56">
        <v>2313</v>
      </c>
      <c r="G56">
        <v>7.0000000000000007E-2</v>
      </c>
      <c r="H56">
        <v>1</v>
      </c>
      <c r="I56" t="s">
        <v>30</v>
      </c>
      <c r="J56" t="s">
        <v>13</v>
      </c>
    </row>
    <row r="57" spans="1:10" x14ac:dyDescent="0.3">
      <c r="A57" s="1">
        <v>43857</v>
      </c>
      <c r="B57" t="s">
        <v>27</v>
      </c>
      <c r="C57" t="s">
        <v>28</v>
      </c>
      <c r="D57">
        <v>140</v>
      </c>
      <c r="E57">
        <v>47.97</v>
      </c>
      <c r="F57">
        <v>6715.8</v>
      </c>
      <c r="G57">
        <v>0.11</v>
      </c>
      <c r="H57">
        <v>2</v>
      </c>
      <c r="I57" t="s">
        <v>16</v>
      </c>
      <c r="J57" t="s">
        <v>23</v>
      </c>
    </row>
    <row r="58" spans="1:10" x14ac:dyDescent="0.3">
      <c r="A58" s="1">
        <v>43857</v>
      </c>
      <c r="B58" t="s">
        <v>29</v>
      </c>
      <c r="C58" t="s">
        <v>11</v>
      </c>
      <c r="D58">
        <v>126</v>
      </c>
      <c r="E58">
        <v>11.68</v>
      </c>
      <c r="F58">
        <v>1471.68</v>
      </c>
      <c r="G58">
        <v>0.02</v>
      </c>
      <c r="H58">
        <v>3</v>
      </c>
      <c r="I58" t="s">
        <v>12</v>
      </c>
      <c r="J58" t="s">
        <v>13</v>
      </c>
    </row>
    <row r="59" spans="1:10" x14ac:dyDescent="0.3">
      <c r="A59" s="1">
        <v>43857</v>
      </c>
      <c r="B59" t="s">
        <v>31</v>
      </c>
      <c r="C59" t="s">
        <v>28</v>
      </c>
      <c r="D59">
        <v>135</v>
      </c>
      <c r="E59">
        <v>30.55</v>
      </c>
      <c r="F59">
        <v>4124.25</v>
      </c>
      <c r="G59">
        <v>0.09</v>
      </c>
      <c r="H59">
        <v>3</v>
      </c>
      <c r="I59" t="s">
        <v>30</v>
      </c>
      <c r="J59" t="s">
        <v>17</v>
      </c>
    </row>
    <row r="60" spans="1:10" x14ac:dyDescent="0.3">
      <c r="A60" s="1">
        <v>43857</v>
      </c>
      <c r="B60" t="s">
        <v>32</v>
      </c>
      <c r="C60" t="s">
        <v>33</v>
      </c>
      <c r="D60">
        <v>174</v>
      </c>
      <c r="E60">
        <v>30.94</v>
      </c>
      <c r="F60">
        <v>5383.56</v>
      </c>
      <c r="G60">
        <v>7.0000000000000007E-2</v>
      </c>
      <c r="H60">
        <v>2</v>
      </c>
      <c r="I60" t="s">
        <v>12</v>
      </c>
      <c r="J60" t="s">
        <v>17</v>
      </c>
    </row>
    <row r="61" spans="1:10" x14ac:dyDescent="0.3">
      <c r="A61" s="1">
        <v>43857</v>
      </c>
      <c r="B61" t="s">
        <v>34</v>
      </c>
      <c r="C61" t="s">
        <v>35</v>
      </c>
      <c r="D61">
        <v>156</v>
      </c>
      <c r="E61">
        <v>38.270000000000003</v>
      </c>
      <c r="F61">
        <v>5970.12</v>
      </c>
      <c r="G61">
        <v>0.12</v>
      </c>
      <c r="H61">
        <v>4</v>
      </c>
      <c r="I61" t="s">
        <v>16</v>
      </c>
      <c r="J61" t="s">
        <v>23</v>
      </c>
    </row>
    <row r="62" spans="1:10" x14ac:dyDescent="0.3">
      <c r="A62" s="1">
        <v>43857</v>
      </c>
      <c r="B62" t="s">
        <v>36</v>
      </c>
      <c r="C62" t="s">
        <v>15</v>
      </c>
      <c r="D62">
        <v>154</v>
      </c>
      <c r="E62">
        <v>15.7</v>
      </c>
      <c r="F62">
        <v>2417.8000000000002</v>
      </c>
      <c r="G62">
        <v>0.04</v>
      </c>
      <c r="H62">
        <v>1</v>
      </c>
      <c r="I62" t="s">
        <v>16</v>
      </c>
      <c r="J62" t="s">
        <v>13</v>
      </c>
    </row>
    <row r="63" spans="1:10" x14ac:dyDescent="0.3">
      <c r="A63" s="1">
        <v>43857</v>
      </c>
      <c r="B63" t="s">
        <v>37</v>
      </c>
      <c r="C63" t="s">
        <v>38</v>
      </c>
      <c r="D63">
        <v>141</v>
      </c>
      <c r="E63">
        <v>38.06</v>
      </c>
      <c r="F63">
        <v>5366.46</v>
      </c>
      <c r="G63">
        <v>0.13</v>
      </c>
      <c r="H63">
        <v>0</v>
      </c>
      <c r="I63" t="s">
        <v>16</v>
      </c>
      <c r="J63" t="s">
        <v>23</v>
      </c>
    </row>
    <row r="64" spans="1:10" x14ac:dyDescent="0.3">
      <c r="A64" s="1">
        <v>43857</v>
      </c>
      <c r="B64" t="s">
        <v>39</v>
      </c>
      <c r="C64" t="s">
        <v>28</v>
      </c>
      <c r="D64">
        <v>165</v>
      </c>
      <c r="E64">
        <v>13.38</v>
      </c>
      <c r="F64">
        <v>2207.6999999999998</v>
      </c>
      <c r="G64">
        <v>0.18</v>
      </c>
      <c r="H64">
        <v>2</v>
      </c>
      <c r="I64" t="s">
        <v>30</v>
      </c>
      <c r="J64" t="s">
        <v>23</v>
      </c>
    </row>
    <row r="65" spans="1:10" x14ac:dyDescent="0.3">
      <c r="A65" s="1">
        <v>43857</v>
      </c>
      <c r="B65" t="s">
        <v>40</v>
      </c>
      <c r="C65" t="s">
        <v>41</v>
      </c>
      <c r="D65">
        <v>129</v>
      </c>
      <c r="E65">
        <v>34.229999999999997</v>
      </c>
      <c r="F65">
        <v>4415.67</v>
      </c>
      <c r="G65">
        <v>0.04</v>
      </c>
      <c r="H65">
        <v>3</v>
      </c>
      <c r="I65" t="s">
        <v>12</v>
      </c>
      <c r="J65" t="s">
        <v>17</v>
      </c>
    </row>
    <row r="66" spans="1:10" x14ac:dyDescent="0.3">
      <c r="A66" s="1">
        <v>43864</v>
      </c>
      <c r="B66" t="s">
        <v>10</v>
      </c>
      <c r="C66" t="s">
        <v>11</v>
      </c>
      <c r="D66">
        <v>165</v>
      </c>
      <c r="E66">
        <v>33.11</v>
      </c>
      <c r="F66">
        <v>5463.15</v>
      </c>
      <c r="G66">
        <v>0.1</v>
      </c>
      <c r="H66">
        <v>2</v>
      </c>
      <c r="I66" t="s">
        <v>12</v>
      </c>
      <c r="J66" t="s">
        <v>23</v>
      </c>
    </row>
    <row r="67" spans="1:10" x14ac:dyDescent="0.3">
      <c r="A67" s="1">
        <v>43864</v>
      </c>
      <c r="B67" t="s">
        <v>14</v>
      </c>
      <c r="C67" t="s">
        <v>15</v>
      </c>
      <c r="D67">
        <v>152</v>
      </c>
      <c r="E67">
        <v>35.630000000000003</v>
      </c>
      <c r="F67">
        <v>5415.76</v>
      </c>
      <c r="G67">
        <v>0.2</v>
      </c>
      <c r="H67">
        <v>1</v>
      </c>
      <c r="I67" t="s">
        <v>16</v>
      </c>
      <c r="J67" t="s">
        <v>17</v>
      </c>
    </row>
    <row r="68" spans="1:10" x14ac:dyDescent="0.3">
      <c r="A68" s="1">
        <v>43864</v>
      </c>
      <c r="B68" t="s">
        <v>18</v>
      </c>
      <c r="C68" t="s">
        <v>19</v>
      </c>
      <c r="D68">
        <v>138</v>
      </c>
      <c r="E68">
        <v>18.239999999999998</v>
      </c>
      <c r="F68">
        <v>2517.12</v>
      </c>
      <c r="G68">
        <v>0.08</v>
      </c>
      <c r="H68">
        <v>2</v>
      </c>
      <c r="I68" t="s">
        <v>16</v>
      </c>
      <c r="J68" t="s">
        <v>17</v>
      </c>
    </row>
    <row r="69" spans="1:10" x14ac:dyDescent="0.3">
      <c r="A69" s="1">
        <v>43864</v>
      </c>
      <c r="B69" t="s">
        <v>20</v>
      </c>
      <c r="C69" t="s">
        <v>15</v>
      </c>
      <c r="D69">
        <v>151</v>
      </c>
      <c r="E69">
        <v>53.89</v>
      </c>
      <c r="F69">
        <v>8137.39</v>
      </c>
      <c r="G69">
        <v>0.22</v>
      </c>
      <c r="H69">
        <v>3</v>
      </c>
      <c r="I69" t="s">
        <v>16</v>
      </c>
      <c r="J69" t="s">
        <v>17</v>
      </c>
    </row>
    <row r="70" spans="1:10" x14ac:dyDescent="0.3">
      <c r="A70" s="1">
        <v>43864</v>
      </c>
      <c r="B70" t="s">
        <v>21</v>
      </c>
      <c r="C70" t="s">
        <v>22</v>
      </c>
      <c r="D70">
        <v>140</v>
      </c>
      <c r="E70">
        <v>59.25</v>
      </c>
      <c r="F70">
        <v>8295</v>
      </c>
      <c r="G70">
        <v>0.19</v>
      </c>
      <c r="H70">
        <v>0</v>
      </c>
      <c r="I70" t="s">
        <v>16</v>
      </c>
      <c r="J70" t="s">
        <v>17</v>
      </c>
    </row>
    <row r="71" spans="1:10" x14ac:dyDescent="0.3">
      <c r="A71" s="1">
        <v>43864</v>
      </c>
      <c r="B71" t="s">
        <v>24</v>
      </c>
      <c r="C71" t="s">
        <v>25</v>
      </c>
      <c r="D71">
        <v>126</v>
      </c>
      <c r="E71">
        <v>55.46</v>
      </c>
      <c r="F71">
        <v>6987.96</v>
      </c>
      <c r="G71">
        <v>0.13</v>
      </c>
      <c r="H71">
        <v>1</v>
      </c>
      <c r="I71" t="s">
        <v>30</v>
      </c>
      <c r="J71" t="s">
        <v>23</v>
      </c>
    </row>
    <row r="72" spans="1:10" x14ac:dyDescent="0.3">
      <c r="A72" s="1">
        <v>43864</v>
      </c>
      <c r="B72" t="s">
        <v>26</v>
      </c>
      <c r="C72" t="s">
        <v>22</v>
      </c>
      <c r="D72">
        <v>132</v>
      </c>
      <c r="E72">
        <v>51.11</v>
      </c>
      <c r="F72">
        <v>6746.52</v>
      </c>
      <c r="G72">
        <v>0.1</v>
      </c>
      <c r="H72">
        <v>2</v>
      </c>
      <c r="I72" t="s">
        <v>12</v>
      </c>
      <c r="J72" t="s">
        <v>17</v>
      </c>
    </row>
    <row r="73" spans="1:10" x14ac:dyDescent="0.3">
      <c r="A73" s="1">
        <v>43864</v>
      </c>
      <c r="B73" t="s">
        <v>27</v>
      </c>
      <c r="C73" t="s">
        <v>28</v>
      </c>
      <c r="D73">
        <v>184</v>
      </c>
      <c r="E73">
        <v>36.17</v>
      </c>
      <c r="F73">
        <v>6655.28</v>
      </c>
      <c r="G73">
        <v>7.0000000000000007E-2</v>
      </c>
      <c r="H73">
        <v>3</v>
      </c>
      <c r="I73" t="s">
        <v>12</v>
      </c>
      <c r="J73" t="s">
        <v>17</v>
      </c>
    </row>
    <row r="74" spans="1:10" x14ac:dyDescent="0.3">
      <c r="A74" s="1">
        <v>43864</v>
      </c>
      <c r="B74" t="s">
        <v>29</v>
      </c>
      <c r="C74" t="s">
        <v>11</v>
      </c>
      <c r="D74">
        <v>153</v>
      </c>
      <c r="E74">
        <v>49.9</v>
      </c>
      <c r="F74">
        <v>7634.7</v>
      </c>
      <c r="G74">
        <v>0.1</v>
      </c>
      <c r="H74">
        <v>3</v>
      </c>
      <c r="I74" t="s">
        <v>16</v>
      </c>
      <c r="J74" t="s">
        <v>17</v>
      </c>
    </row>
    <row r="75" spans="1:10" x14ac:dyDescent="0.3">
      <c r="A75" s="1">
        <v>43864</v>
      </c>
      <c r="B75" t="s">
        <v>31</v>
      </c>
      <c r="C75" t="s">
        <v>28</v>
      </c>
      <c r="D75">
        <v>151</v>
      </c>
      <c r="E75">
        <v>44.79</v>
      </c>
      <c r="F75">
        <v>6763.29</v>
      </c>
      <c r="G75">
        <v>0.2</v>
      </c>
      <c r="H75">
        <v>1</v>
      </c>
      <c r="I75" t="s">
        <v>12</v>
      </c>
      <c r="J75" t="s">
        <v>17</v>
      </c>
    </row>
    <row r="76" spans="1:10" x14ac:dyDescent="0.3">
      <c r="A76" s="1">
        <v>43864</v>
      </c>
      <c r="B76" t="s">
        <v>32</v>
      </c>
      <c r="C76" t="s">
        <v>33</v>
      </c>
      <c r="D76">
        <v>135</v>
      </c>
      <c r="E76">
        <v>19.21</v>
      </c>
      <c r="F76">
        <v>2593.35</v>
      </c>
      <c r="G76">
        <v>0.22</v>
      </c>
      <c r="H76">
        <v>2</v>
      </c>
      <c r="I76" t="s">
        <v>16</v>
      </c>
      <c r="J76" t="s">
        <v>17</v>
      </c>
    </row>
    <row r="77" spans="1:10" x14ac:dyDescent="0.3">
      <c r="A77" s="1">
        <v>43864</v>
      </c>
      <c r="B77" t="s">
        <v>34</v>
      </c>
      <c r="C77" t="s">
        <v>35</v>
      </c>
      <c r="D77">
        <v>135</v>
      </c>
      <c r="E77">
        <v>40.76</v>
      </c>
      <c r="F77">
        <v>5502.6</v>
      </c>
      <c r="G77">
        <v>0.02</v>
      </c>
      <c r="H77">
        <v>3</v>
      </c>
      <c r="I77" t="s">
        <v>12</v>
      </c>
      <c r="J77" t="s">
        <v>23</v>
      </c>
    </row>
    <row r="78" spans="1:10" x14ac:dyDescent="0.3">
      <c r="A78" s="1">
        <v>43864</v>
      </c>
      <c r="B78" t="s">
        <v>36</v>
      </c>
      <c r="C78" t="s">
        <v>15</v>
      </c>
      <c r="D78">
        <v>162</v>
      </c>
      <c r="E78">
        <v>58.36</v>
      </c>
      <c r="F78">
        <v>9454.32</v>
      </c>
      <c r="G78">
        <v>0.1</v>
      </c>
      <c r="H78">
        <v>5</v>
      </c>
      <c r="I78" t="s">
        <v>16</v>
      </c>
      <c r="J78" t="s">
        <v>17</v>
      </c>
    </row>
    <row r="79" spans="1:10" x14ac:dyDescent="0.3">
      <c r="A79" s="1">
        <v>43864</v>
      </c>
      <c r="B79" t="s">
        <v>37</v>
      </c>
      <c r="C79" t="s">
        <v>38</v>
      </c>
      <c r="D79">
        <v>156</v>
      </c>
      <c r="E79">
        <v>18.3</v>
      </c>
      <c r="F79">
        <v>2854.8</v>
      </c>
      <c r="G79">
        <v>0.22</v>
      </c>
      <c r="H79">
        <v>1</v>
      </c>
      <c r="I79" t="s">
        <v>16</v>
      </c>
      <c r="J79" t="s">
        <v>23</v>
      </c>
    </row>
    <row r="80" spans="1:10" x14ac:dyDescent="0.3">
      <c r="A80" s="1">
        <v>43864</v>
      </c>
      <c r="B80" t="s">
        <v>39</v>
      </c>
      <c r="C80" t="s">
        <v>28</v>
      </c>
      <c r="D80">
        <v>136</v>
      </c>
      <c r="E80">
        <v>37.99</v>
      </c>
      <c r="F80">
        <v>5166.6400000000003</v>
      </c>
      <c r="G80">
        <v>0.13</v>
      </c>
      <c r="H80">
        <v>2</v>
      </c>
      <c r="I80" t="s">
        <v>30</v>
      </c>
      <c r="J80" t="s">
        <v>17</v>
      </c>
    </row>
    <row r="81" spans="1:10" x14ac:dyDescent="0.3">
      <c r="A81" s="1">
        <v>43864</v>
      </c>
      <c r="B81" t="s">
        <v>40</v>
      </c>
      <c r="C81" t="s">
        <v>41</v>
      </c>
      <c r="D81">
        <v>168</v>
      </c>
      <c r="E81">
        <v>46.57</v>
      </c>
      <c r="F81">
        <v>7823.76</v>
      </c>
      <c r="G81">
        <v>0.05</v>
      </c>
      <c r="H81">
        <v>3</v>
      </c>
      <c r="I81" t="s">
        <v>12</v>
      </c>
      <c r="J81" t="s">
        <v>23</v>
      </c>
    </row>
    <row r="82" spans="1:10" x14ac:dyDescent="0.3">
      <c r="A82" s="1">
        <v>43871</v>
      </c>
      <c r="B82" t="s">
        <v>10</v>
      </c>
      <c r="C82" t="s">
        <v>11</v>
      </c>
      <c r="D82">
        <v>163</v>
      </c>
      <c r="E82">
        <v>45.51</v>
      </c>
      <c r="F82">
        <v>7418.13</v>
      </c>
      <c r="G82">
        <v>0.08</v>
      </c>
      <c r="H82">
        <v>1</v>
      </c>
      <c r="I82" t="s">
        <v>16</v>
      </c>
      <c r="J82" t="s">
        <v>23</v>
      </c>
    </row>
    <row r="83" spans="1:10" x14ac:dyDescent="0.3">
      <c r="A83" s="1">
        <v>43871</v>
      </c>
      <c r="B83" t="s">
        <v>14</v>
      </c>
      <c r="C83" t="s">
        <v>15</v>
      </c>
      <c r="D83">
        <v>163</v>
      </c>
      <c r="E83">
        <v>27.89</v>
      </c>
      <c r="F83">
        <v>4546.07</v>
      </c>
      <c r="G83">
        <v>0.12</v>
      </c>
      <c r="H83">
        <v>3</v>
      </c>
      <c r="I83" t="s">
        <v>16</v>
      </c>
      <c r="J83" t="s">
        <v>17</v>
      </c>
    </row>
    <row r="84" spans="1:10" x14ac:dyDescent="0.3">
      <c r="A84" s="1">
        <v>43871</v>
      </c>
      <c r="B84" t="s">
        <v>18</v>
      </c>
      <c r="C84" t="s">
        <v>19</v>
      </c>
      <c r="D84">
        <v>144</v>
      </c>
      <c r="E84">
        <v>45.6</v>
      </c>
      <c r="F84">
        <v>6566.4</v>
      </c>
      <c r="G84">
        <v>0.21</v>
      </c>
      <c r="H84">
        <v>0</v>
      </c>
      <c r="I84" t="s">
        <v>12</v>
      </c>
      <c r="J84" t="s">
        <v>17</v>
      </c>
    </row>
    <row r="85" spans="1:10" x14ac:dyDescent="0.3">
      <c r="A85" s="1">
        <v>43871</v>
      </c>
      <c r="B85" t="s">
        <v>20</v>
      </c>
      <c r="C85" t="s">
        <v>15</v>
      </c>
      <c r="D85">
        <v>140</v>
      </c>
      <c r="E85">
        <v>27.4</v>
      </c>
      <c r="F85">
        <v>3836</v>
      </c>
      <c r="G85">
        <v>0.11</v>
      </c>
      <c r="H85">
        <v>2</v>
      </c>
      <c r="I85" t="s">
        <v>16</v>
      </c>
      <c r="J85" t="s">
        <v>13</v>
      </c>
    </row>
    <row r="86" spans="1:10" x14ac:dyDescent="0.3">
      <c r="A86" s="1">
        <v>43871</v>
      </c>
      <c r="B86" t="s">
        <v>21</v>
      </c>
      <c r="C86" t="s">
        <v>22</v>
      </c>
      <c r="D86">
        <v>155</v>
      </c>
      <c r="E86">
        <v>27.62</v>
      </c>
      <c r="F86">
        <v>4281.1000000000004</v>
      </c>
      <c r="G86">
        <v>0.21</v>
      </c>
      <c r="H86">
        <v>1</v>
      </c>
      <c r="I86" t="s">
        <v>30</v>
      </c>
      <c r="J86" t="s">
        <v>23</v>
      </c>
    </row>
    <row r="87" spans="1:10" x14ac:dyDescent="0.3">
      <c r="A87" s="1">
        <v>43871</v>
      </c>
      <c r="B87" t="s">
        <v>24</v>
      </c>
      <c r="C87" t="s">
        <v>25</v>
      </c>
      <c r="D87">
        <v>134</v>
      </c>
      <c r="E87">
        <v>26.26</v>
      </c>
      <c r="F87">
        <v>3518.84</v>
      </c>
      <c r="G87">
        <v>0.17</v>
      </c>
      <c r="H87">
        <v>0</v>
      </c>
      <c r="I87" t="s">
        <v>16</v>
      </c>
      <c r="J87" t="s">
        <v>17</v>
      </c>
    </row>
    <row r="88" spans="1:10" x14ac:dyDescent="0.3">
      <c r="A88" s="1">
        <v>43871</v>
      </c>
      <c r="B88" t="s">
        <v>26</v>
      </c>
      <c r="C88" t="s">
        <v>22</v>
      </c>
      <c r="D88">
        <v>137</v>
      </c>
      <c r="E88">
        <v>21.36</v>
      </c>
      <c r="F88">
        <v>2926.32</v>
      </c>
      <c r="G88">
        <v>0.21</v>
      </c>
      <c r="H88">
        <v>1</v>
      </c>
      <c r="I88" t="s">
        <v>12</v>
      </c>
      <c r="J88" t="s">
        <v>23</v>
      </c>
    </row>
    <row r="89" spans="1:10" x14ac:dyDescent="0.3">
      <c r="A89" s="1">
        <v>43871</v>
      </c>
      <c r="B89" t="s">
        <v>27</v>
      </c>
      <c r="C89" t="s">
        <v>28</v>
      </c>
      <c r="D89">
        <v>155</v>
      </c>
      <c r="E89">
        <v>35.630000000000003</v>
      </c>
      <c r="F89">
        <v>5522.65</v>
      </c>
      <c r="G89">
        <v>0.08</v>
      </c>
      <c r="H89">
        <v>1</v>
      </c>
      <c r="I89" t="s">
        <v>16</v>
      </c>
      <c r="J89" t="s">
        <v>17</v>
      </c>
    </row>
    <row r="90" spans="1:10" x14ac:dyDescent="0.3">
      <c r="A90" s="1">
        <v>43871</v>
      </c>
      <c r="B90" t="s">
        <v>29</v>
      </c>
      <c r="C90" t="s">
        <v>11</v>
      </c>
      <c r="D90">
        <v>155</v>
      </c>
      <c r="E90">
        <v>53.56</v>
      </c>
      <c r="F90">
        <v>8301.7999999999993</v>
      </c>
      <c r="G90">
        <v>0.19</v>
      </c>
      <c r="H90">
        <v>2</v>
      </c>
      <c r="I90" t="s">
        <v>16</v>
      </c>
      <c r="J90" t="s">
        <v>13</v>
      </c>
    </row>
    <row r="91" spans="1:10" x14ac:dyDescent="0.3">
      <c r="A91" s="1">
        <v>43871</v>
      </c>
      <c r="B91" t="s">
        <v>31</v>
      </c>
      <c r="C91" t="s">
        <v>28</v>
      </c>
      <c r="D91">
        <v>156</v>
      </c>
      <c r="E91">
        <v>55.36</v>
      </c>
      <c r="F91">
        <v>8636.16</v>
      </c>
      <c r="G91">
        <v>0.17</v>
      </c>
      <c r="H91">
        <v>2</v>
      </c>
      <c r="I91" t="s">
        <v>16</v>
      </c>
      <c r="J91" t="s">
        <v>23</v>
      </c>
    </row>
    <row r="92" spans="1:10" x14ac:dyDescent="0.3">
      <c r="A92" s="1">
        <v>43871</v>
      </c>
      <c r="B92" t="s">
        <v>32</v>
      </c>
      <c r="C92" t="s">
        <v>33</v>
      </c>
      <c r="D92">
        <v>132</v>
      </c>
      <c r="E92">
        <v>33.020000000000003</v>
      </c>
      <c r="F92">
        <v>4358.6400000000003</v>
      </c>
      <c r="G92">
        <v>0.22</v>
      </c>
      <c r="H92">
        <v>1</v>
      </c>
      <c r="I92" t="s">
        <v>30</v>
      </c>
      <c r="J92" t="s">
        <v>23</v>
      </c>
    </row>
    <row r="93" spans="1:10" x14ac:dyDescent="0.3">
      <c r="A93" s="1">
        <v>43871</v>
      </c>
      <c r="B93" t="s">
        <v>34</v>
      </c>
      <c r="C93" t="s">
        <v>35</v>
      </c>
      <c r="D93">
        <v>146</v>
      </c>
      <c r="E93">
        <v>15.54</v>
      </c>
      <c r="F93">
        <v>2268.84</v>
      </c>
      <c r="G93">
        <v>0.11</v>
      </c>
      <c r="H93">
        <v>0</v>
      </c>
      <c r="I93" t="s">
        <v>12</v>
      </c>
      <c r="J93" t="s">
        <v>17</v>
      </c>
    </row>
    <row r="94" spans="1:10" x14ac:dyDescent="0.3">
      <c r="A94" s="1">
        <v>43871</v>
      </c>
      <c r="B94" t="s">
        <v>36</v>
      </c>
      <c r="C94" t="s">
        <v>15</v>
      </c>
      <c r="D94">
        <v>142</v>
      </c>
      <c r="E94">
        <v>24.61</v>
      </c>
      <c r="F94">
        <v>3494.62</v>
      </c>
      <c r="G94">
        <v>0.23</v>
      </c>
      <c r="H94">
        <v>2</v>
      </c>
      <c r="I94" t="s">
        <v>16</v>
      </c>
      <c r="J94" t="s">
        <v>23</v>
      </c>
    </row>
    <row r="95" spans="1:10" x14ac:dyDescent="0.3">
      <c r="A95" s="1">
        <v>43871</v>
      </c>
      <c r="B95" t="s">
        <v>37</v>
      </c>
      <c r="C95" t="s">
        <v>38</v>
      </c>
      <c r="D95">
        <v>162</v>
      </c>
      <c r="E95">
        <v>58.14</v>
      </c>
      <c r="F95">
        <v>9418.68</v>
      </c>
      <c r="G95">
        <v>0.18</v>
      </c>
      <c r="H95">
        <v>1</v>
      </c>
      <c r="I95" t="s">
        <v>16</v>
      </c>
      <c r="J95" t="s">
        <v>13</v>
      </c>
    </row>
    <row r="96" spans="1:10" x14ac:dyDescent="0.3">
      <c r="A96" s="1">
        <v>43871</v>
      </c>
      <c r="B96" t="s">
        <v>39</v>
      </c>
      <c r="C96" t="s">
        <v>28</v>
      </c>
      <c r="D96">
        <v>163</v>
      </c>
      <c r="E96">
        <v>53.64</v>
      </c>
      <c r="F96">
        <v>8743.32</v>
      </c>
      <c r="G96">
        <v>0.03</v>
      </c>
      <c r="H96">
        <v>2</v>
      </c>
      <c r="I96" t="s">
        <v>30</v>
      </c>
      <c r="J96" t="s">
        <v>13</v>
      </c>
    </row>
    <row r="97" spans="1:10" x14ac:dyDescent="0.3">
      <c r="A97" s="1">
        <v>43871</v>
      </c>
      <c r="B97" t="s">
        <v>40</v>
      </c>
      <c r="C97" t="s">
        <v>41</v>
      </c>
      <c r="D97">
        <v>151</v>
      </c>
      <c r="E97">
        <v>22.09</v>
      </c>
      <c r="F97">
        <v>3335.59</v>
      </c>
      <c r="G97">
        <v>0</v>
      </c>
      <c r="H97">
        <v>1</v>
      </c>
      <c r="I97" t="s">
        <v>30</v>
      </c>
      <c r="J97" t="s">
        <v>17</v>
      </c>
    </row>
    <row r="98" spans="1:10" x14ac:dyDescent="0.3">
      <c r="A98" s="1">
        <v>43878</v>
      </c>
      <c r="B98" t="s">
        <v>10</v>
      </c>
      <c r="C98" t="s">
        <v>11</v>
      </c>
      <c r="D98">
        <v>143</v>
      </c>
      <c r="E98">
        <v>24.86</v>
      </c>
      <c r="F98">
        <v>3554.98</v>
      </c>
      <c r="G98">
        <v>7.0000000000000007E-2</v>
      </c>
      <c r="H98">
        <v>2</v>
      </c>
      <c r="I98" t="s">
        <v>12</v>
      </c>
      <c r="J98" t="s">
        <v>23</v>
      </c>
    </row>
    <row r="99" spans="1:10" x14ac:dyDescent="0.3">
      <c r="A99" s="1">
        <v>43878</v>
      </c>
      <c r="B99" t="s">
        <v>14</v>
      </c>
      <c r="C99" t="s">
        <v>15</v>
      </c>
      <c r="D99">
        <v>165</v>
      </c>
      <c r="E99">
        <v>39.659999999999997</v>
      </c>
      <c r="F99">
        <v>6543.9</v>
      </c>
      <c r="G99">
        <v>0.22</v>
      </c>
      <c r="H99">
        <v>0</v>
      </c>
      <c r="I99" t="s">
        <v>12</v>
      </c>
      <c r="J99" t="s">
        <v>23</v>
      </c>
    </row>
    <row r="100" spans="1:10" x14ac:dyDescent="0.3">
      <c r="A100" s="1">
        <v>43878</v>
      </c>
      <c r="B100" t="s">
        <v>18</v>
      </c>
      <c r="C100" t="s">
        <v>19</v>
      </c>
      <c r="D100">
        <v>129</v>
      </c>
      <c r="E100">
        <v>49.73</v>
      </c>
      <c r="F100">
        <v>6415.17</v>
      </c>
      <c r="G100">
        <v>0.01</v>
      </c>
      <c r="H100">
        <v>1</v>
      </c>
      <c r="I100" t="s">
        <v>12</v>
      </c>
      <c r="J100" t="s">
        <v>13</v>
      </c>
    </row>
    <row r="101" spans="1:10" x14ac:dyDescent="0.3">
      <c r="A101" s="1"/>
    </row>
    <row r="102" spans="1:10" x14ac:dyDescent="0.3">
      <c r="A102" s="1"/>
    </row>
    <row r="103" spans="1:10" x14ac:dyDescent="0.3">
      <c r="A103" s="1"/>
    </row>
    <row r="104" spans="1:10" x14ac:dyDescent="0.3">
      <c r="A104" s="1"/>
    </row>
    <row r="105" spans="1:10" x14ac:dyDescent="0.3">
      <c r="A105" s="1"/>
    </row>
    <row r="106" spans="1:10" x14ac:dyDescent="0.3">
      <c r="A106" s="1"/>
    </row>
    <row r="107" spans="1:10" x14ac:dyDescent="0.3">
      <c r="A107" s="1"/>
    </row>
    <row r="108" spans="1:10" x14ac:dyDescent="0.3">
      <c r="A108" s="1"/>
    </row>
    <row r="109" spans="1:10" x14ac:dyDescent="0.3">
      <c r="A109" s="1"/>
    </row>
    <row r="110" spans="1:10" x14ac:dyDescent="0.3">
      <c r="A110" s="1"/>
    </row>
    <row r="111" spans="1:10" x14ac:dyDescent="0.3">
      <c r="A111" s="1"/>
    </row>
    <row r="112" spans="1:10"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by Location</vt:lpstr>
      <vt:lpstr>Revenue by Platform</vt:lpstr>
      <vt:lpstr>Discount by location</vt:lpstr>
      <vt:lpstr>Discount by platform</vt:lpstr>
      <vt:lpstr>Unit sale by week</vt:lpstr>
      <vt:lpstr>Dashboard</vt:lpstr>
      <vt:lpstr>Supplement_Sales_Weekly_Expande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Pandat</dc:creator>
  <cp:lastModifiedBy>Shivanshu Pandat</cp:lastModifiedBy>
  <dcterms:created xsi:type="dcterms:W3CDTF">2026-09-14T17:02:57Z</dcterms:created>
  <dcterms:modified xsi:type="dcterms:W3CDTF">2026-09-15T04:05:55Z</dcterms:modified>
</cp:coreProperties>
</file>