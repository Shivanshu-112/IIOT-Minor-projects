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DD295144-A7EF-4AC4-A436-0E453F4A3AF3}" xr6:coauthVersionLast="47" xr6:coauthVersionMax="47" xr10:uidLastSave="{00000000-0000-0000-0000-000000000000}"/>
  <bookViews>
    <workbookView xWindow="-108" yWindow="-108" windowWidth="23256" windowHeight="12456" xr2:uid="{A8CE9027-CEEB-44F0-BD6C-4362DF97C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</calcChain>
</file>

<file path=xl/sharedStrings.xml><?xml version="1.0" encoding="utf-8"?>
<sst xmlns="http://schemas.openxmlformats.org/spreadsheetml/2006/main" count="26" uniqueCount="19">
  <si>
    <t>MCA AI &amp; ML</t>
  </si>
  <si>
    <t>Arjun</t>
  </si>
  <si>
    <t>Pradeep</t>
  </si>
  <si>
    <t>Aarav</t>
  </si>
  <si>
    <t>Isha</t>
  </si>
  <si>
    <t>Ravi</t>
  </si>
  <si>
    <t>Dhruv</t>
  </si>
  <si>
    <t>Riddhima</t>
  </si>
  <si>
    <t>Shivanshu</t>
  </si>
  <si>
    <t>Minimum Marks</t>
  </si>
  <si>
    <t>Max Marks</t>
  </si>
  <si>
    <t>Average Marks</t>
  </si>
  <si>
    <t>Total Marks</t>
  </si>
  <si>
    <t>Data Visualization</t>
  </si>
  <si>
    <t>Data Analytics</t>
  </si>
  <si>
    <t>Python</t>
  </si>
  <si>
    <t>Course</t>
  </si>
  <si>
    <t xml:space="preserve">Student 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</si>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</sst>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B0460-00F9-4F44-A6AB-2D5BD42862CC}" name="Table2" displayName="Table2" ref="A2:I10" totalsRowShown="0" headerRowDxfId="10" dataDxfId="9">
  <autoFilter ref="A2:I10" xr:uid="{8ACF0AA4-E52E-4AFC-A437-57E8600F405A}"/>
  <tableColumns count="9">
    <tableColumn id="1" xr3:uid="{04D6F417-760B-495B-A7C0-B5FA3FF0ED68}" name="Student " dataDxfId="8"/>
    <tableColumn id="2" xr3:uid="{39F00AA9-4B01-40D5-8317-9E2C3CBE34AA}" name="Course" dataDxfId="7"/>
    <tableColumn id="3" xr3:uid="{37863F89-06E0-4FD7-BE3F-5DD8CBFAEFE4}" name="Python" dataDxfId="6"/>
    <tableColumn id="4" xr3:uid="{0914BE4F-185B-4432-8A2A-4172AD1806A8}" name="Data Analytics" dataDxfId="5"/>
    <tableColumn id="5" xr3:uid="{0CAFC38A-A6B3-44F4-968F-E3B7781B42E5}" name="Data Visualization" dataDxfId="4"/>
    <tableColumn id="6" xr3:uid="{42DFDBF1-7536-4AAC-B32E-18F08427C946}" name="Total Marks" dataDxfId="3">
      <calculatedColumnFormula>SUM(Table2[[#This Row],[Python]:[Data Visualization]])</calculatedColumnFormula>
    </tableColumn>
    <tableColumn id="7" xr3:uid="{8F3F14B3-BDE9-41A5-ADE6-5DF519E354CF}" name="Average Marks" dataDxfId="2">
      <calculatedColumnFormula>AVERAGE(Table2[[#This Row],[Python]:[Data Visualization]])</calculatedColumnFormula>
    </tableColumn>
    <tableColumn id="8" xr3:uid="{D076A9B1-2754-4B82-A4CE-F5B3A6082343}" name="Max Marks" dataDxfId="1">
      <calculatedColumnFormula>MAX(Table2[[#This Row],[Python]:[Data Visualization]])</calculatedColumnFormula>
    </tableColumn>
    <tableColumn id="9" xr3:uid="{E2C28989-E904-4DF8-872C-8ACF3A31005E}" name="Minimum Marks" dataDxfId="0">
      <calculatedColumnFormula>MIN(Table2[[#This Row],[Python]:[Data Visualization]])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6DAF-5899-455F-A78F-28B4F3AD596D}">
  <dimension ref="A1:I10"/>
  <sheetViews>
    <sheetView tabSelected="1" workbookViewId="0">
      <selection activeCell="D14" sqref="D13:D14"/>
    </sheetView>
  </sheetViews>
  <sheetFormatPr defaultRowHeight="14.4" x14ac:dyDescent="0.3"/>
  <cols>
    <col min="1" max="1" width="14.109375" customWidth="1"/>
    <col min="2" max="2" width="17.44140625" customWidth="1"/>
    <col min="3" max="3" width="15.6640625" customWidth="1"/>
    <col min="4" max="4" width="22.21875" customWidth="1"/>
    <col min="5" max="5" width="27.109375" customWidth="1"/>
    <col min="6" max="6" width="20.5546875" customWidth="1"/>
    <col min="7" max="7" width="23.21875" customWidth="1"/>
    <col min="8" max="8" width="19.5546875" customWidth="1"/>
    <col min="9" max="9" width="24.6640625" customWidth="1"/>
  </cols>
  <sheetData>
    <row r="1" spans="1:9" ht="21" x14ac:dyDescent="0.4">
      <c r="C1" s="3" t="s">
        <v>18</v>
      </c>
      <c r="D1" s="3"/>
      <c r="E1" s="3"/>
    </row>
    <row r="2" spans="1:9" ht="18" x14ac:dyDescent="0.35">
      <c r="A2" s="2" t="s">
        <v>17</v>
      </c>
      <c r="B2" s="2" t="s">
        <v>16</v>
      </c>
      <c r="C2" s="2" t="s">
        <v>15</v>
      </c>
      <c r="D2" s="2" t="s">
        <v>14</v>
      </c>
      <c r="E2" s="2" t="s">
        <v>13</v>
      </c>
      <c r="F2" s="2" t="s">
        <v>12</v>
      </c>
      <c r="G2" s="2" t="s">
        <v>11</v>
      </c>
      <c r="H2" s="2" t="s">
        <v>10</v>
      </c>
      <c r="I2" s="2" t="s">
        <v>9</v>
      </c>
    </row>
    <row r="3" spans="1:9" x14ac:dyDescent="0.3">
      <c r="A3" s="1" t="s">
        <v>8</v>
      </c>
      <c r="B3" s="1" t="s">
        <v>0</v>
      </c>
      <c r="C3" s="1">
        <v>88</v>
      </c>
      <c r="D3" s="1">
        <v>85</v>
      </c>
      <c r="E3" s="1">
        <v>70</v>
      </c>
      <c r="F3" s="1">
        <f>SUM(Table2[[#This Row],[Python]:[Data Visualization]])</f>
        <v>243</v>
      </c>
      <c r="G3" s="1">
        <f>AVERAGE(Table2[[#This Row],[Python]:[Data Visualization]])</f>
        <v>81</v>
      </c>
      <c r="H3" s="1">
        <f>MAX(Table2[[#This Row],[Python]:[Data Visualization]])</f>
        <v>88</v>
      </c>
      <c r="I3" s="1">
        <f>MIN(Table2[[#This Row],[Python]:[Data Visualization]])</f>
        <v>70</v>
      </c>
    </row>
    <row r="4" spans="1:9" x14ac:dyDescent="0.3">
      <c r="A4" s="1" t="s">
        <v>7</v>
      </c>
      <c r="B4" s="1" t="s">
        <v>0</v>
      </c>
      <c r="C4" s="1">
        <v>56</v>
      </c>
      <c r="D4" s="1">
        <v>92</v>
      </c>
      <c r="E4" s="1">
        <v>86</v>
      </c>
      <c r="F4" s="1">
        <f>SUM(Table2[[#This Row],[Python]:[Data Visualization]])</f>
        <v>234</v>
      </c>
      <c r="G4" s="1">
        <f>AVERAGE(Table2[[#This Row],[Python]:[Data Visualization]])</f>
        <v>78</v>
      </c>
      <c r="H4" s="1">
        <f>MAX(Table2[[#This Row],[Python]:[Data Visualization]])</f>
        <v>92</v>
      </c>
      <c r="I4" s="1">
        <f>MIN(Table2[[#This Row],[Python]:[Data Visualization]])</f>
        <v>56</v>
      </c>
    </row>
    <row r="5" spans="1:9" x14ac:dyDescent="0.3">
      <c r="A5" s="1" t="s">
        <v>6</v>
      </c>
      <c r="B5" s="1" t="s">
        <v>0</v>
      </c>
      <c r="C5" s="1">
        <v>87</v>
      </c>
      <c r="D5" s="1">
        <v>75</v>
      </c>
      <c r="E5" s="1">
        <v>94</v>
      </c>
      <c r="F5" s="1">
        <f>SUM(Table2[[#This Row],[Python]:[Data Visualization]])</f>
        <v>256</v>
      </c>
      <c r="G5" s="1">
        <f>AVERAGE(Table2[[#This Row],[Python]:[Data Visualization]])</f>
        <v>85.333333333333329</v>
      </c>
      <c r="H5" s="1">
        <f>MAX(Table2[[#This Row],[Python]:[Data Visualization]])</f>
        <v>94</v>
      </c>
      <c r="I5" s="1">
        <f>MIN(Table2[[#This Row],[Python]:[Data Visualization]])</f>
        <v>75</v>
      </c>
    </row>
    <row r="6" spans="1:9" x14ac:dyDescent="0.3">
      <c r="A6" s="1" t="s">
        <v>5</v>
      </c>
      <c r="B6" s="1" t="s">
        <v>0</v>
      </c>
      <c r="C6" s="1">
        <v>70</v>
      </c>
      <c r="D6" s="1">
        <v>88</v>
      </c>
      <c r="E6" s="1">
        <v>76</v>
      </c>
      <c r="F6" s="1">
        <f>SUM(Table2[[#This Row],[Python]:[Data Visualization]])</f>
        <v>234</v>
      </c>
      <c r="G6" s="1">
        <f>AVERAGE(Table2[[#This Row],[Python]:[Data Visualization]])</f>
        <v>78</v>
      </c>
      <c r="H6" s="1">
        <f>MAX(Table2[[#This Row],[Python]:[Data Visualization]])</f>
        <v>88</v>
      </c>
      <c r="I6" s="1">
        <f>MIN(Table2[[#This Row],[Python]:[Data Visualization]])</f>
        <v>70</v>
      </c>
    </row>
    <row r="7" spans="1:9" x14ac:dyDescent="0.3">
      <c r="A7" s="1" t="s">
        <v>4</v>
      </c>
      <c r="B7" s="1" t="s">
        <v>0</v>
      </c>
      <c r="C7" s="1">
        <v>86</v>
      </c>
      <c r="D7" s="1">
        <v>95</v>
      </c>
      <c r="E7" s="1">
        <v>59</v>
      </c>
      <c r="F7" s="1">
        <f>SUM(Table2[[#This Row],[Python]:[Data Visualization]])</f>
        <v>240</v>
      </c>
      <c r="G7" s="1">
        <f>AVERAGE(Table2[[#This Row],[Python]:[Data Visualization]])</f>
        <v>80</v>
      </c>
      <c r="H7" s="1">
        <f>MAX(Table2[[#This Row],[Python]:[Data Visualization]])</f>
        <v>95</v>
      </c>
      <c r="I7" s="1">
        <f>MIN(Table2[[#This Row],[Python]:[Data Visualization]])</f>
        <v>59</v>
      </c>
    </row>
    <row r="8" spans="1:9" x14ac:dyDescent="0.3">
      <c r="A8" s="1" t="s">
        <v>3</v>
      </c>
      <c r="B8" s="1" t="s">
        <v>0</v>
      </c>
      <c r="C8" s="1">
        <v>94</v>
      </c>
      <c r="D8" s="1">
        <v>45</v>
      </c>
      <c r="E8" s="1">
        <v>85</v>
      </c>
      <c r="F8" s="1">
        <f>SUM(Table2[[#This Row],[Python]:[Data Visualization]])</f>
        <v>224</v>
      </c>
      <c r="G8" s="1">
        <f>AVERAGE(Table2[[#This Row],[Python]:[Data Visualization]])</f>
        <v>74.666666666666671</v>
      </c>
      <c r="H8" s="1">
        <f>MAX(Table2[[#This Row],[Python]:[Data Visualization]])</f>
        <v>94</v>
      </c>
      <c r="I8" s="1">
        <f>MIN(Table2[[#This Row],[Python]:[Data Visualization]])</f>
        <v>45</v>
      </c>
    </row>
    <row r="9" spans="1:9" x14ac:dyDescent="0.3">
      <c r="A9" s="1" t="s">
        <v>2</v>
      </c>
      <c r="B9" s="1" t="s">
        <v>0</v>
      </c>
      <c r="C9" s="1">
        <v>76</v>
      </c>
      <c r="D9" s="1">
        <v>60</v>
      </c>
      <c r="E9" s="1">
        <v>92</v>
      </c>
      <c r="F9" s="1">
        <f>SUM(Table2[[#This Row],[Python]:[Data Visualization]])</f>
        <v>228</v>
      </c>
      <c r="G9" s="1">
        <f>AVERAGE(Table2[[#This Row],[Python]:[Data Visualization]])</f>
        <v>76</v>
      </c>
      <c r="H9" s="1">
        <f>MAX(Table2[[#This Row],[Python]:[Data Visualization]])</f>
        <v>92</v>
      </c>
      <c r="I9" s="1">
        <f>MIN(Table2[[#This Row],[Python]:[Data Visualization]])</f>
        <v>60</v>
      </c>
    </row>
    <row r="10" spans="1:9" x14ac:dyDescent="0.3">
      <c r="A10" s="1" t="s">
        <v>1</v>
      </c>
      <c r="B10" s="1" t="s">
        <v>0</v>
      </c>
      <c r="C10" s="1">
        <v>59</v>
      </c>
      <c r="D10" s="1">
        <v>38</v>
      </c>
      <c r="E10" s="1">
        <v>75</v>
      </c>
      <c r="F10" s="1">
        <f>SUM(Table2[[#This Row],[Python]:[Data Visualization]])</f>
        <v>172</v>
      </c>
      <c r="G10" s="1">
        <f>AVERAGE(Table2[[#This Row],[Python]:[Data Visualization]])</f>
        <v>57.333333333333336</v>
      </c>
      <c r="H10" s="1">
        <f>MAX(Table2[[#This Row],[Python]:[Data Visualization]])</f>
        <v>75</v>
      </c>
      <c r="I10" s="1">
        <f>MIN(Table2[[#This Row],[Python]:[Data Visualization]])</f>
        <v>38</v>
      </c>
    </row>
  </sheetData>
  <mergeCells count="1">
    <mergeCell ref="C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2026-09-21T18:53:51Z</dcterms:created>
  <dcterms:modified xsi:type="dcterms:W3CDTF">2026-09-21T19:04:37Z</dcterms:modified>
</cp:coreProperties>
</file>