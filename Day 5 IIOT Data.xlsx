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1D0643C6-E5C3-42EF-AB73-361D76C3E277}" xr6:coauthVersionLast="47" xr6:coauthVersionMax="47" xr10:uidLastSave="{00000000-0000-0000-0000-000000000000}"/>
  <bookViews>
    <workbookView xWindow="-108" yWindow="-108" windowWidth="23256" windowHeight="12456" xr2:uid="{A634A02D-E20D-46B7-9487-246CE933E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 s="1"/>
  <c r="I2" i="1" s="1"/>
  <c r="F3" i="1"/>
  <c r="H3" i="1"/>
  <c r="I3" i="1"/>
  <c r="F4" i="1"/>
  <c r="H4" i="1"/>
  <c r="I4" i="1"/>
  <c r="F5" i="1"/>
  <c r="H5" i="1"/>
  <c r="I5" i="1"/>
  <c r="F6" i="1"/>
  <c r="H6" i="1" s="1"/>
  <c r="I6" i="1" s="1"/>
  <c r="F7" i="1"/>
  <c r="H7" i="1"/>
  <c r="I7" i="1"/>
  <c r="F8" i="1"/>
  <c r="H8" i="1"/>
  <c r="I8" i="1"/>
  <c r="F9" i="1"/>
  <c r="H9" i="1"/>
  <c r="I9" i="1"/>
</calcChain>
</file>

<file path=xl/sharedStrings.xml><?xml version="1.0" encoding="utf-8"?>
<sst xmlns="http://schemas.openxmlformats.org/spreadsheetml/2006/main" count="25" uniqueCount="18">
  <si>
    <t>MCA AI &amp; ML</t>
  </si>
  <si>
    <t>Arjun</t>
  </si>
  <si>
    <t>Pradeep</t>
  </si>
  <si>
    <t>Aarav</t>
  </si>
  <si>
    <t>Isha</t>
  </si>
  <si>
    <t>Ravi</t>
  </si>
  <si>
    <t>Dhruv</t>
  </si>
  <si>
    <t>Riddhima</t>
  </si>
  <si>
    <t>Shivanshu</t>
  </si>
  <si>
    <t>Result</t>
  </si>
  <si>
    <t>Percentage</t>
  </si>
  <si>
    <t>Total Marks2</t>
  </si>
  <si>
    <t>Total Marks</t>
  </si>
  <si>
    <t>Data Visualization</t>
  </si>
  <si>
    <t>Data Analytics</t>
  </si>
  <si>
    <t>Python</t>
  </si>
  <si>
    <t>Course</t>
  </si>
  <si>
    <t xml:space="preserve">Student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</si>
</sst>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5E688-A301-480C-B708-6AB0E64ED131}" name="Table3" displayName="Table3" ref="A1:I9" totalsRowShown="0" headerRowDxfId="8">
  <autoFilter ref="A1:I9" xr:uid="{33215273-E024-4138-B0D2-3EB91D102073}"/>
  <tableColumns count="9">
    <tableColumn id="1" xr3:uid="{132D9456-0C21-4D16-85AB-A5B758827D32}" name="Student " dataDxfId="7"/>
    <tableColumn id="2" xr3:uid="{66DC2D46-7A3E-4132-8A0C-BD9B64A33D7E}" name="Course" dataDxfId="6"/>
    <tableColumn id="3" xr3:uid="{0CCF1E46-061D-447B-A53B-B421C78B44B3}" name="Python" dataDxfId="5"/>
    <tableColumn id="4" xr3:uid="{810DB522-D887-4844-B666-3E90AEE96755}" name="Data Analytics" dataDxfId="4"/>
    <tableColumn id="5" xr3:uid="{2FA35534-5810-41C0-B937-1A62FB31FF66}" name="Data Visualization" dataDxfId="3"/>
    <tableColumn id="6" xr3:uid="{B8B131BF-2575-4EEF-A2FC-ED980288AED1}" name="Total Marks" dataDxfId="2">
      <calculatedColumnFormula>SUM(C2:E2)</calculatedColumnFormula>
    </tableColumn>
    <tableColumn id="7" xr3:uid="{DF23A250-7568-4F51-9055-E8517B62E75E}" name="Total Marks2"/>
    <tableColumn id="8" xr3:uid="{6367A6E9-6024-48E9-B1F2-6766BC2BFC3F}" name="Percentage" dataDxfId="1">
      <calculatedColumnFormula>Table3[[#This Row],[Total Marks]]/Table3[[#This Row],[Total Marks2]]*100</calculatedColumnFormula>
    </tableColumn>
    <tableColumn id="9" xr3:uid="{CF130DCA-879D-41EF-8434-14B11965252C}" name="Result" dataDxfId="0">
      <calculatedColumnFormula>IF(Table3[[#This Row],[Percentage]]&gt;=75,"Pass","Fail")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B6C8-E4D5-4F47-A079-06932211EC34}">
  <dimension ref="A1:I9"/>
  <sheetViews>
    <sheetView tabSelected="1" workbookViewId="0">
      <selection activeCell="C2" sqref="C2"/>
    </sheetView>
  </sheetViews>
  <sheetFormatPr defaultRowHeight="14.4" x14ac:dyDescent="0.3"/>
  <cols>
    <col min="1" max="1" width="18.109375" customWidth="1"/>
    <col min="2" max="2" width="18.5546875" customWidth="1"/>
    <col min="3" max="3" width="16.44140625" customWidth="1"/>
    <col min="4" max="4" width="19.109375" customWidth="1"/>
    <col min="5" max="5" width="25.6640625" customWidth="1"/>
    <col min="6" max="6" width="19.44140625" customWidth="1"/>
    <col min="7" max="7" width="20.44140625" customWidth="1"/>
    <col min="8" max="8" width="17.88671875" customWidth="1"/>
    <col min="9" max="9" width="15.6640625" customWidth="1"/>
  </cols>
  <sheetData>
    <row r="1" spans="1:9" ht="18" x14ac:dyDescent="0.35">
      <c r="A1" s="4" t="s">
        <v>17</v>
      </c>
      <c r="B1" s="4" t="s">
        <v>16</v>
      </c>
      <c r="C1" s="4" t="s">
        <v>15</v>
      </c>
      <c r="D1" s="4" t="s">
        <v>14</v>
      </c>
      <c r="E1" s="4" t="s">
        <v>13</v>
      </c>
      <c r="F1" s="4" t="s">
        <v>12</v>
      </c>
      <c r="G1" s="5" t="s">
        <v>11</v>
      </c>
      <c r="H1" s="5" t="s">
        <v>10</v>
      </c>
      <c r="I1" s="5" t="s">
        <v>9</v>
      </c>
    </row>
    <row r="2" spans="1:9" x14ac:dyDescent="0.3">
      <c r="A2" s="1" t="s">
        <v>8</v>
      </c>
      <c r="B2" s="1" t="s">
        <v>0</v>
      </c>
      <c r="C2" s="1">
        <v>88</v>
      </c>
      <c r="D2" s="1">
        <v>85</v>
      </c>
      <c r="E2" s="1">
        <v>70</v>
      </c>
      <c r="F2" s="1">
        <f>SUM(C2:E2)</f>
        <v>243</v>
      </c>
      <c r="G2">
        <v>300</v>
      </c>
      <c r="H2" s="6">
        <f>Table3[[#This Row],[Total Marks]]/Table3[[#This Row],[Total Marks2]]*100</f>
        <v>81</v>
      </c>
      <c r="I2" s="6" t="str">
        <f>IF(Table3[[#This Row],[Percentage]]&gt;=75,"Pass","Fail")</f>
        <v>Pass</v>
      </c>
    </row>
    <row r="3" spans="1:9" x14ac:dyDescent="0.3">
      <c r="A3" s="3" t="s">
        <v>7</v>
      </c>
      <c r="B3" s="3" t="s">
        <v>0</v>
      </c>
      <c r="C3" s="3">
        <v>56</v>
      </c>
      <c r="D3" s="3">
        <v>92</v>
      </c>
      <c r="E3" s="3">
        <v>86</v>
      </c>
      <c r="F3" s="1">
        <f>SUM(C3:E3)</f>
        <v>234</v>
      </c>
      <c r="G3">
        <v>300</v>
      </c>
      <c r="H3" s="6">
        <f>Table3[[#This Row],[Total Marks]]/Table3[[#This Row],[Total Marks2]]*100</f>
        <v>78</v>
      </c>
      <c r="I3" s="6" t="str">
        <f>IF(Table3[[#This Row],[Percentage]]&gt;=75,"Pass","Fail")</f>
        <v>Pass</v>
      </c>
    </row>
    <row r="4" spans="1:9" x14ac:dyDescent="0.3">
      <c r="A4" s="1" t="s">
        <v>6</v>
      </c>
      <c r="B4" s="1" t="s">
        <v>0</v>
      </c>
      <c r="C4" s="1">
        <v>87</v>
      </c>
      <c r="D4" s="1">
        <v>75</v>
      </c>
      <c r="E4" s="1">
        <v>94</v>
      </c>
      <c r="F4" s="1">
        <f>SUM(C4:E4)</f>
        <v>256</v>
      </c>
      <c r="G4">
        <v>300</v>
      </c>
      <c r="H4" s="6">
        <f>Table3[[#This Row],[Total Marks]]/Table3[[#This Row],[Total Marks2]]*100</f>
        <v>85.333333333333343</v>
      </c>
      <c r="I4" s="6" t="str">
        <f>IF(Table3[[#This Row],[Percentage]]&gt;=75,"Pass","Fail")</f>
        <v>Pass</v>
      </c>
    </row>
    <row r="5" spans="1:9" x14ac:dyDescent="0.3">
      <c r="A5" s="3" t="s">
        <v>5</v>
      </c>
      <c r="B5" s="3" t="s">
        <v>0</v>
      </c>
      <c r="C5" s="3">
        <v>70</v>
      </c>
      <c r="D5" s="3">
        <v>88</v>
      </c>
      <c r="E5" s="3">
        <v>76</v>
      </c>
      <c r="F5" s="1">
        <f>SUM(C5:E5)</f>
        <v>234</v>
      </c>
      <c r="G5">
        <v>300</v>
      </c>
      <c r="H5" s="6">
        <f>Table3[[#This Row],[Total Marks]]/Table3[[#This Row],[Total Marks2]]*100</f>
        <v>78</v>
      </c>
      <c r="I5" s="6" t="str">
        <f>IF(Table3[[#This Row],[Percentage]]&gt;=75,"Pass","Fail")</f>
        <v>Pass</v>
      </c>
    </row>
    <row r="6" spans="1:9" x14ac:dyDescent="0.3">
      <c r="A6" s="1" t="s">
        <v>4</v>
      </c>
      <c r="B6" s="1" t="s">
        <v>0</v>
      </c>
      <c r="C6" s="1">
        <v>86</v>
      </c>
      <c r="D6" s="1">
        <v>95</v>
      </c>
      <c r="E6" s="1">
        <v>59</v>
      </c>
      <c r="F6" s="1">
        <f>SUM(C6:E6)</f>
        <v>240</v>
      </c>
      <c r="G6">
        <v>300</v>
      </c>
      <c r="H6" s="6">
        <f>Table3[[#This Row],[Total Marks]]/Table3[[#This Row],[Total Marks2]]*100</f>
        <v>80</v>
      </c>
      <c r="I6" s="6" t="str">
        <f>IF(Table3[[#This Row],[Percentage]]&gt;=75,"Pass","Fail")</f>
        <v>Pass</v>
      </c>
    </row>
    <row r="7" spans="1:9" x14ac:dyDescent="0.3">
      <c r="A7" s="3" t="s">
        <v>3</v>
      </c>
      <c r="B7" s="3" t="s">
        <v>0</v>
      </c>
      <c r="C7" s="3">
        <v>94</v>
      </c>
      <c r="D7" s="3">
        <v>45</v>
      </c>
      <c r="E7" s="3">
        <v>85</v>
      </c>
      <c r="F7" s="1">
        <f>SUM(C7:E7)</f>
        <v>224</v>
      </c>
      <c r="G7">
        <v>300</v>
      </c>
      <c r="H7" s="6">
        <f>Table3[[#This Row],[Total Marks]]/Table3[[#This Row],[Total Marks2]]*100</f>
        <v>74.666666666666671</v>
      </c>
      <c r="I7" s="6" t="str">
        <f>IF(Table3[[#This Row],[Percentage]]&gt;=75,"Pass","Fail")</f>
        <v>Fail</v>
      </c>
    </row>
    <row r="8" spans="1:9" x14ac:dyDescent="0.3">
      <c r="A8" s="1" t="s">
        <v>2</v>
      </c>
      <c r="B8" s="1" t="s">
        <v>0</v>
      </c>
      <c r="C8" s="1">
        <v>76</v>
      </c>
      <c r="D8" s="1">
        <v>60</v>
      </c>
      <c r="E8" s="1">
        <v>92</v>
      </c>
      <c r="F8" s="1">
        <f>SUM(C8:E8)</f>
        <v>228</v>
      </c>
      <c r="G8">
        <v>300</v>
      </c>
      <c r="H8" s="6">
        <f>Table3[[#This Row],[Total Marks]]/Table3[[#This Row],[Total Marks2]]*100</f>
        <v>76</v>
      </c>
      <c r="I8" s="6" t="str">
        <f>IF(Table3[[#This Row],[Percentage]]&gt;=75,"Pass","Fail")</f>
        <v>Pass</v>
      </c>
    </row>
    <row r="9" spans="1:9" x14ac:dyDescent="0.3">
      <c r="A9" s="2" t="s">
        <v>1</v>
      </c>
      <c r="B9" s="2" t="s">
        <v>0</v>
      </c>
      <c r="C9" s="2">
        <v>59</v>
      </c>
      <c r="D9" s="2">
        <v>38</v>
      </c>
      <c r="E9" s="2">
        <v>75</v>
      </c>
      <c r="F9" s="1">
        <f>SUM(C9:E9)</f>
        <v>172</v>
      </c>
      <c r="G9">
        <v>300</v>
      </c>
      <c r="H9" s="6">
        <f>Table3[[#This Row],[Total Marks]]/Table3[[#This Row],[Total Marks2]]*100</f>
        <v>57.333333333333336</v>
      </c>
      <c r="I9" s="6" t="str">
        <f>IF(Table3[[#This Row],[Percentage]]&gt;=75,"Pass","Fail")</f>
        <v>Fail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2026-09-21T18:53:55Z</dcterms:created>
  <dcterms:modified xsi:type="dcterms:W3CDTF">2026-09-21T19:04:54Z</dcterms:modified>
</cp:coreProperties>
</file>